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CF Model" sheetId="2" state="visible" r:id="rId2"/>
    <sheet xmlns:r="http://schemas.openxmlformats.org/officeDocument/2006/relationships" name="Comps" sheetId="3" state="visible" r:id="rId3"/>
    <sheet xmlns:r="http://schemas.openxmlformats.org/officeDocument/2006/relationships" name="Financials" sheetId="4" state="visible" r:id="rId4"/>
    <sheet xmlns:r="http://schemas.openxmlformats.org/officeDocument/2006/relationships" name="Risk Register" sheetId="5" state="visible" r:id="rId5"/>
    <sheet xmlns:r="http://schemas.openxmlformats.org/officeDocument/2006/relationships" name="Hist. Financials" sheetId="6" state="visible" r:id="rId6"/>
  </sheets>
  <definedNames/>
  <calcPr calcId="124519" fullCalcOnLoad="1"/>
</workbook>
</file>

<file path=xl/styles.xml><?xml version="1.0" encoding="utf-8"?>
<styleSheet xmlns="http://schemas.openxmlformats.org/spreadsheetml/2006/main">
  <numFmts count="6">
    <numFmt numFmtId="164" formatCode="#,##0.0"/>
    <numFmt numFmtId="165" formatCode="$#,##0.00"/>
    <numFmt numFmtId="166" formatCode="$#,##0"/>
    <numFmt numFmtId="167" formatCode="0.0%"/>
    <numFmt numFmtId="168" formatCode="0.0&quot;x&quot;"/>
    <numFmt numFmtId="169" formatCode="+0.0%;-0.0%;0.0%"/>
  </numFmts>
  <fonts count="23">
    <font>
      <name val="Calibri"/>
      <family val="2"/>
      <color theme="1"/>
      <sz val="11"/>
      <scheme val="minor"/>
    </font>
    <font>
      <name val="Calibri"/>
      <b val="1"/>
      <color rgb="004A9FD4"/>
      <sz val="16"/>
    </font>
    <font>
      <name val="Calibri"/>
      <color rgb="006B7280"/>
      <sz val="9"/>
    </font>
    <font>
      <name val="Calibri"/>
      <b val="1"/>
      <color rgb="00FFFFFF"/>
      <sz val="28"/>
    </font>
    <font>
      <name val="Calibri"/>
      <color rgb="00FFFFFF"/>
      <sz val="10"/>
    </font>
    <font>
      <name val="Calibri"/>
      <b val="1"/>
      <color rgb="00F5C542"/>
      <sz val="11"/>
    </font>
    <font>
      <name val="Calibri"/>
      <b val="1"/>
      <color rgb="00FFFFFF"/>
      <sz val="10"/>
    </font>
    <font>
      <name val="Calibri"/>
      <color rgb="00FFFFFF"/>
      <sz val="9"/>
    </font>
    <font>
      <name val="Calibri"/>
      <i val="1"/>
      <color rgb="00F0F4F8"/>
      <sz val="9"/>
    </font>
    <font>
      <name val="Calibri"/>
      <b val="1"/>
      <color rgb="004A9FD4"/>
      <sz val="14"/>
    </font>
    <font>
      <name val="Calibri"/>
      <b val="1"/>
      <color rgb="00333333"/>
      <sz val="10"/>
    </font>
    <font>
      <name val="Calibri"/>
      <b val="1"/>
      <color rgb="00FFFFFF"/>
      <sz val="9"/>
    </font>
    <font>
      <name val="Calibri"/>
      <b val="1"/>
      <color rgb="00FFFFFF"/>
      <sz val="11"/>
    </font>
    <font>
      <name val="Calibri"/>
      <b val="1"/>
      <color rgb="000D1B2A"/>
      <sz val="11"/>
    </font>
    <font>
      <name val="Calibri"/>
      <b val="1"/>
      <color rgb="000D1B2A"/>
      <sz val="9"/>
    </font>
    <font>
      <name val="Calibri"/>
      <b val="1"/>
      <color rgb="00333333"/>
      <sz val="9"/>
    </font>
    <font>
      <name val="Calibri"/>
      <b val="1"/>
      <color rgb="000D1B2A"/>
      <sz val="10"/>
    </font>
    <font>
      <name val="Calibri"/>
      <b val="1"/>
      <color rgb="00F5C542"/>
      <sz val="14"/>
    </font>
    <font>
      <name val="Calibri"/>
      <b val="1"/>
      <color rgb="00E03E3E"/>
      <sz val="14"/>
    </font>
    <font>
      <name val="Calibri"/>
      <color rgb="00F0F4F8"/>
      <sz val="9"/>
    </font>
    <font>
      <name val="Calibri"/>
      <color rgb="00F5C542"/>
      <sz val="9"/>
    </font>
    <font>
      <name val="Calibri"/>
      <b val="1"/>
      <color rgb="002E86AB"/>
      <sz val="13"/>
    </font>
    <font>
      <name val="Calibri"/>
      <i val="1"/>
      <color rgb="006B7280"/>
      <sz val="8"/>
    </font>
  </fonts>
  <fills count="11">
    <fill>
      <patternFill/>
    </fill>
    <fill>
      <patternFill patternType="gray125"/>
    </fill>
    <fill>
      <patternFill patternType="solid">
        <fgColor rgb="000D1B2A"/>
      </patternFill>
    </fill>
    <fill>
      <patternFill patternType="solid">
        <fgColor rgb="001A2F4A"/>
      </patternFill>
    </fill>
    <fill>
      <patternFill patternType="solid">
        <fgColor rgb="00F5C542"/>
      </patternFill>
    </fill>
    <fill>
      <patternFill patternType="solid">
        <fgColor rgb="001E3A5F"/>
      </patternFill>
    </fill>
    <fill>
      <patternFill patternType="solid">
        <fgColor rgb="00FFFF99"/>
      </patternFill>
    </fill>
    <fill>
      <patternFill patternType="solid">
        <fgColor rgb="004A9FD4"/>
      </patternFill>
    </fill>
    <fill>
      <patternFill patternType="solid">
        <fgColor rgb="002EA04B"/>
      </patternFill>
    </fill>
    <fill>
      <patternFill patternType="solid">
        <fgColor rgb="00E03E3E"/>
      </patternFill>
    </fill>
    <fill>
      <patternFill patternType="solid">
        <fgColor rgb="003D1010"/>
      </patternFill>
    </fill>
  </fills>
  <borders count="2">
    <border>
      <left/>
      <right/>
      <top/>
      <bottom/>
      <diagonal/>
    </border>
    <border>
      <left style="thin">
        <color rgb="003A3F4B"/>
      </left>
      <right style="thin">
        <color rgb="003A3F4B"/>
      </right>
      <top style="thin">
        <color rgb="003A3F4B"/>
      </top>
      <bottom style="thin">
        <color rgb="003A3F4B"/>
      </bottom>
    </border>
  </borders>
  <cellStyleXfs count="1">
    <xf numFmtId="0" fontId="0" fillId="0" borderId="0"/>
  </cellStyleXfs>
  <cellXfs count="49">
    <xf numFmtId="0" fontId="0" fillId="0" borderId="0" pivotButton="0" quotePrefix="0" xfId="0"/>
    <xf numFmtId="0" fontId="1" fillId="3" borderId="0" applyAlignment="1" pivotButton="0" quotePrefix="0" xfId="0">
      <alignment horizontal="left" vertical="center"/>
    </xf>
    <xf numFmtId="0" fontId="0" fillId="2" borderId="0" pivotButton="0" quotePrefix="0" xfId="0"/>
    <xf numFmtId="0" fontId="2" fillId="3" borderId="0" applyAlignment="1" pivotButton="0" quotePrefix="0" xfId="0">
      <alignment horizontal="left" vertical="center"/>
    </xf>
    <xf numFmtId="0" fontId="3" fillId="4" borderId="0" applyAlignment="1" pivotButton="0" quotePrefix="0" xfId="0">
      <alignment horizontal="center" vertical="center"/>
    </xf>
    <xf numFmtId="0" fontId="4" fillId="2" borderId="0" applyAlignment="1" pivotButton="0" quotePrefix="0" xfId="0">
      <alignment horizontal="right" vertical="center"/>
    </xf>
    <xf numFmtId="0" fontId="5" fillId="3" borderId="0" applyAlignment="1" pivotButton="0" quotePrefix="0" xfId="0">
      <alignment horizontal="left" vertical="center"/>
    </xf>
    <xf numFmtId="0" fontId="6" fillId="3" borderId="1" applyAlignment="1" pivotButton="0" quotePrefix="0" xfId="0">
      <alignment horizontal="center" vertical="center"/>
    </xf>
    <xf numFmtId="0" fontId="7" fillId="5" borderId="1" applyAlignment="1" pivotButton="0" quotePrefix="0" xfId="0">
      <alignment horizontal="left" vertical="center"/>
    </xf>
    <xf numFmtId="0" fontId="7" fillId="5" borderId="1" applyAlignment="1" pivotButton="0" quotePrefix="0" xfId="0">
      <alignment horizontal="right" vertical="center"/>
    </xf>
    <xf numFmtId="0" fontId="7" fillId="2" borderId="1" applyAlignment="1" pivotButton="0" quotePrefix="0" xfId="0">
      <alignment horizontal="left" vertical="center"/>
    </xf>
    <xf numFmtId="0" fontId="7" fillId="2" borderId="1" applyAlignment="1" pivotButton="0" quotePrefix="0" xfId="0">
      <alignment horizontal="right" vertical="center"/>
    </xf>
    <xf numFmtId="0" fontId="8" fillId="3" borderId="0" applyAlignment="1" pivotButton="0" quotePrefix="0" xfId="0">
      <alignment horizontal="left" vertical="top" wrapText="1"/>
    </xf>
    <xf numFmtId="0" fontId="9" fillId="3" borderId="0" applyAlignment="1" pivotButton="0" quotePrefix="0" xfId="0">
      <alignment horizontal="left" vertical="center"/>
    </xf>
    <xf numFmtId="164" fontId="10" fillId="6" borderId="0" applyAlignment="1" pivotButton="0" quotePrefix="0" xfId="0">
      <alignment horizontal="right" vertical="center"/>
    </xf>
    <xf numFmtId="165" fontId="10" fillId="6" borderId="0" applyAlignment="1" pivotButton="0" quotePrefix="0" xfId="0">
      <alignment horizontal="right" vertical="center"/>
    </xf>
    <xf numFmtId="166" fontId="10" fillId="6" borderId="0" applyAlignment="1" pivotButton="0" quotePrefix="0" xfId="0">
      <alignment horizontal="right" vertical="center"/>
    </xf>
    <xf numFmtId="167" fontId="10" fillId="6" borderId="0" applyAlignment="1" pivotButton="0" quotePrefix="0" xfId="0">
      <alignment horizontal="right" vertical="center"/>
    </xf>
    <xf numFmtId="2" fontId="10" fillId="6" borderId="0" applyAlignment="1" pivotButton="0" quotePrefix="0" xfId="0">
      <alignment horizontal="right" vertical="center"/>
    </xf>
    <xf numFmtId="168" fontId="10" fillId="6" borderId="0" applyAlignment="1" pivotButton="0" quotePrefix="0" xfId="0">
      <alignment horizontal="right" vertical="center"/>
    </xf>
    <xf numFmtId="0" fontId="11" fillId="7" borderId="1" applyAlignment="1" pivotButton="0" quotePrefix="0" xfId="0">
      <alignment horizontal="left" vertical="center"/>
    </xf>
    <xf numFmtId="167" fontId="7" fillId="2" borderId="1" applyAlignment="1" pivotButton="0" quotePrefix="0" xfId="0">
      <alignment horizontal="right" vertical="center"/>
    </xf>
    <xf numFmtId="165" fontId="7" fillId="2" borderId="1" applyAlignment="1" pivotButton="0" quotePrefix="0" xfId="0">
      <alignment horizontal="right" vertical="center"/>
    </xf>
    <xf numFmtId="169" fontId="7" fillId="2" borderId="1" applyAlignment="1" pivotButton="0" quotePrefix="0" xfId="0">
      <alignment horizontal="right" vertical="center"/>
    </xf>
    <xf numFmtId="166" fontId="7" fillId="2" borderId="1" applyAlignment="1" pivotButton="0" quotePrefix="0" xfId="0">
      <alignment horizontal="right" vertical="center"/>
    </xf>
    <xf numFmtId="0" fontId="11" fillId="8" borderId="1" applyAlignment="1" pivotButton="0" quotePrefix="0" xfId="0">
      <alignment horizontal="left" vertical="center"/>
    </xf>
    <xf numFmtId="0" fontId="11" fillId="9" borderId="1" applyAlignment="1" pivotButton="0" quotePrefix="0" xfId="0">
      <alignment horizontal="left" vertical="center"/>
    </xf>
    <xf numFmtId="0" fontId="12" fillId="3" borderId="0" applyAlignment="1" pivotButton="0" quotePrefix="0" xfId="0">
      <alignment horizontal="right" vertical="center"/>
    </xf>
    <xf numFmtId="165" fontId="14" fillId="4" borderId="1" applyAlignment="1" pivotButton="0" quotePrefix="0" xfId="0">
      <alignment horizontal="right" vertical="center"/>
    </xf>
    <xf numFmtId="169" fontId="14" fillId="4" borderId="1" applyAlignment="1" pivotButton="0" quotePrefix="0" xfId="0">
      <alignment horizontal="right" vertical="center"/>
    </xf>
    <xf numFmtId="0" fontId="11" fillId="6" borderId="1" applyAlignment="1" pivotButton="0" quotePrefix="0" xfId="0">
      <alignment horizontal="left" vertical="center"/>
    </xf>
    <xf numFmtId="167" fontId="15" fillId="6" borderId="1" applyAlignment="1" pivotButton="0" quotePrefix="0" xfId="0">
      <alignment horizontal="right" vertical="center"/>
    </xf>
    <xf numFmtId="0" fontId="11" fillId="2" borderId="1" applyAlignment="1" pivotButton="0" quotePrefix="0" xfId="0">
      <alignment horizontal="left" vertical="center"/>
    </xf>
    <xf numFmtId="0" fontId="11" fillId="5" borderId="1" applyAlignment="1" pivotButton="0" quotePrefix="0" xfId="0">
      <alignment horizontal="left" vertical="center"/>
    </xf>
    <xf numFmtId="166" fontId="7" fillId="5" borderId="1" applyAlignment="1" pivotButton="0" quotePrefix="0" xfId="0">
      <alignment horizontal="right" vertical="center"/>
    </xf>
    <xf numFmtId="166" fontId="11" fillId="7" borderId="1" applyAlignment="1" pivotButton="0" quotePrefix="0" xfId="0">
      <alignment horizontal="right" vertical="center"/>
    </xf>
    <xf numFmtId="165" fontId="7" fillId="5" borderId="1" applyAlignment="1" pivotButton="0" quotePrefix="0" xfId="0">
      <alignment horizontal="right" vertical="center"/>
    </xf>
    <xf numFmtId="0" fontId="14" fillId="7" borderId="1" applyAlignment="1" pivotButton="0" quotePrefix="0" xfId="0">
      <alignment horizontal="left" vertical="center"/>
    </xf>
    <xf numFmtId="0" fontId="14" fillId="7" borderId="1" applyAlignment="1" pivotButton="0" quotePrefix="0" xfId="0">
      <alignment horizontal="right" vertical="center"/>
    </xf>
    <xf numFmtId="0" fontId="16" fillId="4" borderId="0" applyAlignment="1" pivotButton="0" quotePrefix="0" xfId="0">
      <alignment horizontal="left" vertical="center"/>
    </xf>
    <xf numFmtId="0" fontId="16" fillId="4" borderId="0" applyAlignment="1" pivotButton="0" quotePrefix="0" xfId="0">
      <alignment horizontal="right" vertical="center"/>
    </xf>
    <xf numFmtId="0" fontId="17" fillId="3" borderId="0" applyAlignment="1" pivotButton="0" quotePrefix="0" xfId="0">
      <alignment horizontal="left" vertical="center"/>
    </xf>
    <xf numFmtId="0" fontId="18" fillId="3" borderId="0" applyAlignment="1" pivotButton="0" quotePrefix="0" xfId="0">
      <alignment horizontal="left" vertical="center"/>
    </xf>
    <xf numFmtId="0" fontId="19" fillId="10" borderId="0" applyAlignment="1" pivotButton="0" quotePrefix="0" xfId="0">
      <alignment horizontal="left" vertical="top" wrapText="1"/>
    </xf>
    <xf numFmtId="0" fontId="7" fillId="10" borderId="1" applyAlignment="1" pivotButton="0" quotePrefix="0" xfId="0">
      <alignment horizontal="left" vertical="center"/>
    </xf>
    <xf numFmtId="0" fontId="7" fillId="10" borderId="1" applyAlignment="1" pivotButton="0" quotePrefix="0" xfId="0">
      <alignment horizontal="right" vertical="center"/>
    </xf>
    <xf numFmtId="0" fontId="20" fillId="2" borderId="0" applyAlignment="1" pivotButton="0" quotePrefix="0" xfId="0">
      <alignment horizontal="left" vertical="center" wrapText="1"/>
    </xf>
    <xf numFmtId="0" fontId="21" fillId="3" borderId="0" applyAlignment="1" pivotButton="0" quotePrefix="0" xfId="0">
      <alignment horizontal="left" vertical="center"/>
    </xf>
    <xf numFmtId="0" fontId="22"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A9FD4"/>
    <outlinePr summaryBelow="1" summaryRight="1"/>
    <pageSetUpPr/>
  </sheetPr>
  <dimension ref="A1:P60"/>
  <sheetViews>
    <sheetView showGridLines="0" workbookViewId="0">
      <selection activeCell="A1" sqref="A1"/>
    </sheetView>
  </sheetViews>
  <sheetFormatPr baseColWidth="8" defaultRowHeight="15"/>
  <cols>
    <col width="22" customWidth="1" min="1" max="1"/>
    <col width="18" customWidth="1" min="2" max="2"/>
    <col width="22" customWidth="1" min="3" max="3"/>
    <col width="18" customWidth="1" min="4" max="4"/>
    <col width="22" customWidth="1" min="5" max="5"/>
    <col width="18" customWidth="1" min="6" max="6"/>
    <col width="22" customWidth="1" min="7" max="7"/>
    <col width="18"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s>
  <sheetData>
    <row r="1" ht="28" customHeight="1">
      <c r="A1" s="1" t="inlineStr">
        <is>
          <t>ZM (ZM)  —  INVESTMENT SUMMARY</t>
        </is>
      </c>
      <c r="I1" s="2" t="n"/>
      <c r="J1" s="2" t="n"/>
      <c r="K1" s="2" t="n"/>
      <c r="L1" s="2" t="n"/>
      <c r="M1" s="2" t="n"/>
      <c r="N1" s="2" t="n"/>
      <c r="O1" s="2" t="n"/>
      <c r="P1" s="2" t="n"/>
    </row>
    <row r="2">
      <c r="A2" s="3" t="inlineStr">
        <is>
          <t>Generated: April 11, 2026  |  Analyst: Proprietary Research</t>
        </is>
      </c>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ht="24" customHeight="1">
      <c r="A4" s="4" t="inlineStr">
        <is>
          <t>HOLD</t>
        </is>
      </c>
      <c r="C4" s="3" t="inlineStr">
        <is>
          <t>Current Price</t>
        </is>
      </c>
      <c r="D4" s="5" t="inlineStr">
        <is>
          <t>$83.23</t>
        </is>
      </c>
      <c r="E4" s="3" t="inlineStr">
        <is>
          <t>DCF Expected Return</t>
        </is>
      </c>
      <c r="F4" s="5" t="inlineStr">
        <is>
          <t>-22.7%</t>
        </is>
      </c>
      <c r="G4" s="2" t="n"/>
      <c r="H4" s="2" t="n"/>
      <c r="I4" s="2" t="n"/>
      <c r="J4" s="2" t="n"/>
      <c r="K4" s="2" t="n"/>
      <c r="L4" s="2" t="n"/>
      <c r="M4" s="2" t="n"/>
      <c r="N4" s="2" t="n"/>
      <c r="O4" s="2" t="n"/>
      <c r="P4" s="2" t="n"/>
    </row>
    <row r="5" ht="24" customHeight="1">
      <c r="C5" s="3" t="inlineStr">
        <is>
          <t>12M Price Target</t>
        </is>
      </c>
      <c r="D5" s="5" t="inlineStr">
        <is>
          <t>$86</t>
        </is>
      </c>
      <c r="E5" s="3" t="inlineStr">
        <is>
          <t>Analyst Mean Target</t>
        </is>
      </c>
      <c r="F5" s="5" t="inlineStr">
        <is>
          <t>N/A</t>
        </is>
      </c>
      <c r="G5" s="2" t="n"/>
      <c r="H5" s="2" t="n"/>
      <c r="I5" s="2" t="n"/>
      <c r="J5" s="2" t="n"/>
      <c r="K5" s="2" t="n"/>
      <c r="L5" s="2" t="n"/>
      <c r="M5" s="2" t="n"/>
      <c r="N5" s="2" t="n"/>
      <c r="O5" s="2" t="n"/>
      <c r="P5" s="2" t="n"/>
    </row>
    <row r="6">
      <c r="A6" s="2" t="n"/>
      <c r="B6" s="2" t="n"/>
      <c r="C6" s="3" t="inlineStr">
        <is>
          <t>Expected Return</t>
        </is>
      </c>
      <c r="D6" s="5" t="inlineStr">
        <is>
          <t>+3.3%</t>
        </is>
      </c>
      <c r="E6" s="3" t="inlineStr">
        <is>
          <t># Sell-side Analysts</t>
        </is>
      </c>
      <c r="F6" s="5" t="inlineStr">
        <is>
          <t>N/A</t>
        </is>
      </c>
      <c r="G6" s="2" t="n"/>
      <c r="H6" s="2" t="n"/>
      <c r="I6" s="2" t="n"/>
      <c r="J6" s="2" t="n"/>
      <c r="K6" s="2" t="n"/>
      <c r="L6" s="2" t="n"/>
      <c r="M6" s="2" t="n"/>
      <c r="N6" s="2" t="n"/>
      <c r="O6" s="2" t="n"/>
      <c r="P6" s="2" t="n"/>
    </row>
    <row r="7">
      <c r="A7" s="2" t="n"/>
      <c r="B7" s="2" t="n"/>
      <c r="C7" s="3" t="inlineStr">
        <is>
          <t>Conviction Level</t>
        </is>
      </c>
      <c r="D7" s="5" t="inlineStr">
        <is>
          <t>3/5</t>
        </is>
      </c>
      <c r="E7" s="3" t="inlineStr">
        <is>
          <t>Quality Score</t>
        </is>
      </c>
      <c r="F7" s="5" t="inlineStr">
        <is>
          <t>5.7/10</t>
        </is>
      </c>
      <c r="G7" s="2" t="n"/>
      <c r="H7" s="2" t="n"/>
      <c r="I7" s="2" t="n"/>
      <c r="J7" s="2" t="n"/>
      <c r="K7" s="2" t="n"/>
      <c r="L7" s="2" t="n"/>
      <c r="M7" s="2" t="n"/>
      <c r="N7" s="2" t="n"/>
      <c r="O7" s="2" t="n"/>
      <c r="P7" s="2" t="n"/>
    </row>
    <row r="8">
      <c r="A8" s="2" t="n"/>
      <c r="B8" s="2" t="n"/>
      <c r="C8" s="3" t="inlineStr">
        <is>
          <t>DCF Expected Value</t>
        </is>
      </c>
      <c r="D8" s="5" t="inlineStr">
        <is>
          <t>$64.36</t>
        </is>
      </c>
      <c r="E8" s="3" t="inlineStr">
        <is>
          <t>Sector</t>
        </is>
      </c>
      <c r="F8" s="5" t="inlineStr">
        <is>
          <t>—</t>
        </is>
      </c>
      <c r="G8" s="2" t="n"/>
      <c r="H8" s="2" t="n"/>
      <c r="I8" s="2" t="n"/>
      <c r="J8" s="2" t="n"/>
      <c r="K8" s="2" t="n"/>
      <c r="L8" s="2" t="n"/>
      <c r="M8" s="2" t="n"/>
      <c r="N8" s="2" t="n"/>
      <c r="O8" s="2" t="n"/>
      <c r="P8" s="2" t="n"/>
    </row>
    <row r="9">
      <c r="A9" s="2" t="n"/>
      <c r="B9" s="2" t="n"/>
      <c r="C9" s="2" t="n"/>
      <c r="D9" s="2" t="n"/>
      <c r="E9" s="2" t="n"/>
      <c r="F9" s="2" t="n"/>
      <c r="G9" s="2" t="n"/>
      <c r="H9" s="2" t="n"/>
      <c r="I9" s="2" t="n"/>
      <c r="J9" s="2" t="n"/>
      <c r="K9" s="2" t="n"/>
      <c r="L9" s="2" t="n"/>
      <c r="M9" s="2" t="n"/>
      <c r="N9" s="2" t="n"/>
      <c r="O9" s="2" t="n"/>
      <c r="P9" s="2" t="n"/>
    </row>
    <row r="10">
      <c r="A10" s="6" t="inlineStr">
        <is>
          <t>MARKET VALUATION</t>
        </is>
      </c>
      <c r="G10" s="2" t="n"/>
      <c r="H10" s="2" t="n"/>
      <c r="I10" s="2" t="n"/>
      <c r="J10" s="2" t="n"/>
      <c r="K10" s="2" t="n"/>
      <c r="L10" s="2" t="n"/>
      <c r="M10" s="2" t="n"/>
      <c r="N10" s="2" t="n"/>
      <c r="O10" s="2" t="n"/>
      <c r="P10" s="2" t="n"/>
    </row>
    <row r="11">
      <c r="A11" s="7" t="inlineStr">
        <is>
          <t>Metric</t>
        </is>
      </c>
      <c r="B11" s="7" t="inlineStr">
        <is>
          <t>Current</t>
        </is>
      </c>
      <c r="C11" s="7" t="inlineStr">
        <is>
          <t>Metric</t>
        </is>
      </c>
      <c r="D11" s="7" t="inlineStr">
        <is>
          <t>Current</t>
        </is>
      </c>
      <c r="E11" s="7" t="inlineStr">
        <is>
          <t>Metric</t>
        </is>
      </c>
      <c r="F11" s="7" t="inlineStr">
        <is>
          <t>Current</t>
        </is>
      </c>
      <c r="G11" s="2" t="n"/>
      <c r="H11" s="2" t="n"/>
      <c r="I11" s="2" t="n"/>
      <c r="J11" s="2" t="n"/>
      <c r="K11" s="2" t="n"/>
      <c r="L11" s="2" t="n"/>
      <c r="M11" s="2" t="n"/>
      <c r="N11" s="2" t="n"/>
      <c r="O11" s="2" t="n"/>
      <c r="P11" s="2" t="n"/>
    </row>
    <row r="12">
      <c r="A12" s="8" t="inlineStr">
        <is>
          <t>Trailing P/E</t>
        </is>
      </c>
      <c r="B12" s="9" t="inlineStr">
        <is>
          <t>—x</t>
        </is>
      </c>
      <c r="C12" s="9" t="inlineStr">
        <is>
          <t>Forward P/E</t>
        </is>
      </c>
      <c r="D12" s="9" t="inlineStr">
        <is>
          <t>—x</t>
        </is>
      </c>
      <c r="E12" s="9" t="inlineStr">
        <is>
          <t>EV/EBITDA</t>
        </is>
      </c>
      <c r="F12" s="9" t="inlineStr">
        <is>
          <t>—x</t>
        </is>
      </c>
      <c r="G12" s="2" t="n"/>
      <c r="H12" s="2" t="n"/>
      <c r="I12" s="2" t="n"/>
      <c r="J12" s="2" t="n"/>
      <c r="K12" s="2" t="n"/>
      <c r="L12" s="2" t="n"/>
      <c r="M12" s="2" t="n"/>
      <c r="N12" s="2" t="n"/>
      <c r="O12" s="2" t="n"/>
      <c r="P12" s="2" t="n"/>
    </row>
    <row r="13">
      <c r="A13" s="10" t="inlineStr">
        <is>
          <t>EV/Revenue</t>
        </is>
      </c>
      <c r="B13" s="11" t="inlineStr">
        <is>
          <t>—x</t>
        </is>
      </c>
      <c r="C13" s="11" t="inlineStr">
        <is>
          <t>Price/Book</t>
        </is>
      </c>
      <c r="D13" s="11" t="inlineStr">
        <is>
          <t>—x</t>
        </is>
      </c>
      <c r="E13" s="11" t="inlineStr">
        <is>
          <t>FCF Yield</t>
        </is>
      </c>
      <c r="F13" s="11" t="inlineStr">
        <is>
          <t>—</t>
        </is>
      </c>
      <c r="G13" s="2" t="n"/>
      <c r="H13" s="2" t="n"/>
      <c r="I13" s="2" t="n"/>
      <c r="J13" s="2" t="n"/>
      <c r="K13" s="2" t="n"/>
      <c r="L13" s="2" t="n"/>
      <c r="M13" s="2" t="n"/>
      <c r="N13" s="2" t="n"/>
      <c r="O13" s="2" t="n"/>
      <c r="P13" s="2" t="n"/>
    </row>
    <row r="14">
      <c r="A14" s="2" t="n"/>
      <c r="B14" s="2" t="n"/>
      <c r="C14" s="2" t="n"/>
      <c r="D14" s="2" t="n"/>
      <c r="E14" s="2" t="n"/>
      <c r="F14" s="2" t="n"/>
      <c r="G14" s="2" t="n"/>
      <c r="H14" s="2" t="n"/>
      <c r="I14" s="2" t="n"/>
      <c r="J14" s="2" t="n"/>
      <c r="K14" s="2" t="n"/>
      <c r="L14" s="2" t="n"/>
      <c r="M14" s="2" t="n"/>
      <c r="N14" s="2" t="n"/>
      <c r="O14" s="2" t="n"/>
      <c r="P14" s="2" t="n"/>
    </row>
    <row r="15">
      <c r="A15" s="6" t="inlineStr">
        <is>
          <t>PROFITABILITY &amp; RETURNS</t>
        </is>
      </c>
      <c r="G15" s="2" t="n"/>
      <c r="H15" s="2" t="n"/>
      <c r="I15" s="2" t="n"/>
      <c r="J15" s="2" t="n"/>
      <c r="K15" s="2" t="n"/>
      <c r="L15" s="2" t="n"/>
      <c r="M15" s="2" t="n"/>
      <c r="N15" s="2" t="n"/>
      <c r="O15" s="2" t="n"/>
      <c r="P15" s="2" t="n"/>
    </row>
    <row r="16">
      <c r="A16" s="7" t="inlineStr">
        <is>
          <t>Metric</t>
        </is>
      </c>
      <c r="B16" s="7" t="inlineStr">
        <is>
          <t>Value</t>
        </is>
      </c>
      <c r="C16" s="7" t="inlineStr">
        <is>
          <t>Metric</t>
        </is>
      </c>
      <c r="D16" s="7" t="inlineStr">
        <is>
          <t>Value</t>
        </is>
      </c>
      <c r="E16" s="7" t="inlineStr">
        <is>
          <t>Metric</t>
        </is>
      </c>
      <c r="F16" s="7" t="inlineStr">
        <is>
          <t>Value</t>
        </is>
      </c>
      <c r="G16" s="2" t="n"/>
      <c r="H16" s="2" t="n"/>
      <c r="I16" s="2" t="n"/>
      <c r="J16" s="2" t="n"/>
      <c r="K16" s="2" t="n"/>
      <c r="L16" s="2" t="n"/>
      <c r="M16" s="2" t="n"/>
      <c r="N16" s="2" t="n"/>
      <c r="O16" s="2" t="n"/>
      <c r="P16" s="2" t="n"/>
    </row>
    <row r="17">
      <c r="A17" s="10" t="inlineStr">
        <is>
          <t>Gross Margin</t>
        </is>
      </c>
      <c r="B17" s="11" t="inlineStr">
        <is>
          <t>—</t>
        </is>
      </c>
      <c r="C17" s="11" t="inlineStr">
        <is>
          <t>Operating Margin</t>
        </is>
      </c>
      <c r="D17" s="11" t="inlineStr">
        <is>
          <t>—</t>
        </is>
      </c>
      <c r="E17" s="11" t="inlineStr">
        <is>
          <t>Net Margin</t>
        </is>
      </c>
      <c r="F17" s="11" t="inlineStr">
        <is>
          <t>—</t>
        </is>
      </c>
      <c r="G17" s="2" t="n"/>
      <c r="H17" s="2" t="n"/>
      <c r="I17" s="2" t="n"/>
      <c r="J17" s="2" t="n"/>
      <c r="K17" s="2" t="n"/>
      <c r="L17" s="2" t="n"/>
      <c r="M17" s="2" t="n"/>
      <c r="N17" s="2" t="n"/>
      <c r="O17" s="2" t="n"/>
      <c r="P17" s="2" t="n"/>
    </row>
    <row r="18">
      <c r="A18" s="8" t="inlineStr">
        <is>
          <t>Return on Equity</t>
        </is>
      </c>
      <c r="B18" s="9" t="inlineStr">
        <is>
          <t>—</t>
        </is>
      </c>
      <c r="C18" s="9" t="inlineStr">
        <is>
          <t>Return on Assets</t>
        </is>
      </c>
      <c r="D18" s="9" t="inlineStr">
        <is>
          <t>—</t>
        </is>
      </c>
      <c r="E18" s="9" t="inlineStr">
        <is>
          <t>Revenue TTM</t>
        </is>
      </c>
      <c r="F18" s="9" t="inlineStr">
        <is>
          <t>$4.9B</t>
        </is>
      </c>
      <c r="G18" s="2" t="n"/>
      <c r="H18" s="2" t="n"/>
      <c r="I18" s="2" t="n"/>
      <c r="J18" s="2" t="n"/>
      <c r="K18" s="2" t="n"/>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6" t="inlineStr">
        <is>
          <t>VARIANT VIEW</t>
        </is>
      </c>
      <c r="G20" s="2" t="n"/>
      <c r="H20" s="2" t="n"/>
      <c r="I20" s="2" t="n"/>
      <c r="J20" s="2" t="n"/>
      <c r="K20" s="2" t="n"/>
      <c r="L20" s="2" t="n"/>
      <c r="M20" s="2" t="n"/>
      <c r="N20" s="2" t="n"/>
      <c r="O20" s="2" t="n"/>
      <c r="P20" s="2" t="n"/>
    </row>
    <row r="21" ht="80" customHeight="1">
      <c r="A21" s="12" t="inlineStr">
        <is>
          <t>Street sees ZM as cheap at 14.2x P/E; stripping $7.8B cash reveals the operating business trades at ~19x cash-adjusted earnings — fairly valued for a 4% grower, not cheap. The cash pile is the margin of safety, not the multiple.</t>
        </is>
      </c>
      <c r="G21" s="2" t="n"/>
      <c r="H21" s="2" t="n"/>
      <c r="I21" s="2" t="n"/>
      <c r="J21" s="2" t="n"/>
      <c r="K21" s="2" t="n"/>
      <c r="L21" s="2" t="n"/>
      <c r="M21" s="2" t="n"/>
      <c r="N21" s="2" t="n"/>
      <c r="O21" s="2" t="n"/>
      <c r="P21" s="2" t="n"/>
    </row>
    <row r="22">
      <c r="G22" s="2" t="n"/>
      <c r="H22" s="2" t="n"/>
      <c r="I22" s="2" t="n"/>
      <c r="J22" s="2" t="n"/>
      <c r="K22" s="2" t="n"/>
      <c r="L22" s="2" t="n"/>
      <c r="M22" s="2" t="n"/>
      <c r="N22" s="2" t="n"/>
      <c r="O22" s="2" t="n"/>
      <c r="P22" s="2" t="n"/>
    </row>
    <row r="23">
      <c r="G23" s="2" t="n"/>
      <c r="H23" s="2" t="n"/>
      <c r="I23" s="2" t="n"/>
      <c r="J23" s="2" t="n"/>
      <c r="K23" s="2" t="n"/>
      <c r="L23" s="2" t="n"/>
      <c r="M23" s="2" t="n"/>
      <c r="N23" s="2" t="n"/>
      <c r="O23" s="2" t="n"/>
      <c r="P23" s="2" t="n"/>
    </row>
    <row r="24">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sheetData>
  <mergeCells count="7">
    <mergeCell ref="A21:F24"/>
    <mergeCell ref="A4:B5"/>
    <mergeCell ref="A10:F10"/>
    <mergeCell ref="A2:H2"/>
    <mergeCell ref="A1:H1"/>
    <mergeCell ref="A20:F20"/>
    <mergeCell ref="A15:F15"/>
  </mergeCells>
  <pageMargins left="0.75" right="0.75" top="1" bottom="1" header="0.5" footer="0.5"/>
</worksheet>
</file>

<file path=xl/worksheets/sheet2.xml><?xml version="1.0" encoding="utf-8"?>
<worksheet xmlns="http://schemas.openxmlformats.org/spreadsheetml/2006/main">
  <sheetPr>
    <tabColor rgb="002EA04B"/>
    <outlinePr summaryBelow="1" summaryRight="1"/>
    <pageSetUpPr/>
  </sheetPr>
  <dimension ref="A1:N90"/>
  <sheetViews>
    <sheetView showGridLines="0" workbookViewId="0">
      <selection activeCell="A1" sqref="A1"/>
    </sheetView>
  </sheetViews>
  <sheetFormatPr baseColWidth="8" defaultRowHeight="15"/>
  <cols>
    <col width="2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ht="24" customHeight="1">
      <c r="A1" s="13" t="inlineStr">
        <is>
          <t>ZM — DISCOUNTED CASH FLOW MODEL</t>
        </is>
      </c>
      <c r="I1" s="2" t="n"/>
      <c r="J1" s="2" t="n"/>
      <c r="K1" s="2" t="n"/>
      <c r="L1" s="2" t="n"/>
      <c r="M1" s="2" t="n"/>
      <c r="N1" s="2" t="n"/>
    </row>
    <row r="2">
      <c r="A2" s="2" t="n"/>
      <c r="B2" s="2" t="n"/>
      <c r="C2" s="2" t="n"/>
      <c r="D2" s="2" t="n"/>
      <c r="E2" s="2" t="n"/>
      <c r="F2" s="2" t="n"/>
      <c r="G2" s="2" t="n"/>
      <c r="H2" s="2" t="n"/>
      <c r="I2" s="2" t="n"/>
      <c r="J2" s="2" t="n"/>
      <c r="K2" s="2" t="n"/>
      <c r="L2" s="2" t="n"/>
      <c r="M2" s="2" t="n"/>
      <c r="N2" s="2" t="n"/>
    </row>
    <row r="3">
      <c r="A3" s="6" t="inlineStr">
        <is>
          <t>KEY ASSUMPTIONS  (edit yellow cells to update model)</t>
        </is>
      </c>
      <c r="G3" s="2" t="n"/>
      <c r="H3" s="2" t="n"/>
      <c r="I3" s="2" t="n"/>
      <c r="J3" s="2" t="n"/>
      <c r="K3" s="2" t="n"/>
      <c r="L3" s="2" t="n"/>
      <c r="M3" s="2" t="n"/>
      <c r="N3" s="2" t="n"/>
    </row>
    <row r="4">
      <c r="A4" s="3" t="inlineStr">
        <is>
          <t>Shares Outstanding (mm)</t>
        </is>
      </c>
      <c r="B4" s="14" t="n">
        <v>294.66689</v>
      </c>
      <c r="C4" s="2" t="n"/>
      <c r="D4" s="2" t="n"/>
      <c r="E4" s="3" t="inlineStr">
        <is>
          <t>Current Price ($)</t>
        </is>
      </c>
      <c r="F4" s="15" t="n">
        <v>83.23</v>
      </c>
      <c r="G4" s="2" t="n"/>
      <c r="H4" s="2" t="n"/>
      <c r="I4" s="2" t="n"/>
      <c r="J4" s="2" t="n"/>
      <c r="K4" s="2" t="n"/>
      <c r="L4" s="2" t="n"/>
      <c r="M4" s="2" t="n"/>
      <c r="N4" s="2" t="n"/>
    </row>
    <row r="5">
      <c r="A5" s="3" t="inlineStr">
        <is>
          <t>Net Debt ($mm)</t>
        </is>
      </c>
      <c r="B5" s="16" t="n">
        <v>-7758.433</v>
      </c>
      <c r="C5" s="2" t="n"/>
      <c r="D5" s="2" t="n"/>
      <c r="E5" s="3" t="inlineStr">
        <is>
          <t>Market Cap ($mm)</t>
        </is>
      </c>
      <c r="F5" s="16" t="n">
        <v>24525.12</v>
      </c>
      <c r="G5" s="2" t="n"/>
      <c r="H5" s="2" t="n"/>
      <c r="I5" s="2" t="n"/>
      <c r="J5" s="2" t="n"/>
      <c r="K5" s="2" t="n"/>
      <c r="L5" s="2" t="n"/>
      <c r="M5" s="2" t="n"/>
      <c r="N5" s="2" t="n"/>
    </row>
    <row r="6">
      <c r="A6" s="3" t="inlineStr">
        <is>
          <t>Base Revenue ($mm)</t>
        </is>
      </c>
      <c r="B6" s="16" t="n">
        <v>4868.769</v>
      </c>
      <c r="C6" s="2" t="n"/>
      <c r="D6" s="2" t="n"/>
      <c r="E6" s="3" t="inlineStr">
        <is>
          <t>WACC</t>
        </is>
      </c>
      <c r="F6" s="17" t="n">
        <v>0.09619999999999999</v>
      </c>
      <c r="G6" s="2" t="n"/>
      <c r="H6" s="2" t="n"/>
      <c r="I6" s="2" t="n"/>
      <c r="J6" s="2" t="n"/>
      <c r="K6" s="2" t="n"/>
      <c r="L6" s="2" t="n"/>
      <c r="M6" s="2" t="n"/>
      <c r="N6" s="2" t="n"/>
    </row>
    <row r="7">
      <c r="A7" s="3" t="inlineStr">
        <is>
          <t>Risk-Free Rate</t>
        </is>
      </c>
      <c r="B7" s="17" t="n">
        <v>0.04291</v>
      </c>
      <c r="C7" s="2" t="n"/>
      <c r="D7" s="2" t="n"/>
      <c r="E7" s="3" t="inlineStr">
        <is>
          <t>ERP</t>
        </is>
      </c>
      <c r="F7" s="17" t="n">
        <v>0.055</v>
      </c>
      <c r="G7" s="2" t="n"/>
      <c r="H7" s="2" t="n"/>
      <c r="I7" s="2" t="n"/>
      <c r="J7" s="2" t="n"/>
      <c r="K7" s="2" t="n"/>
      <c r="L7" s="2" t="n"/>
      <c r="M7" s="2" t="n"/>
      <c r="N7" s="2" t="n"/>
    </row>
    <row r="8">
      <c r="A8" s="3" t="inlineStr">
        <is>
          <t>Beta</t>
        </is>
      </c>
      <c r="B8" s="18" t="n">
        <v>0.88</v>
      </c>
      <c r="C8" s="2" t="n"/>
      <c r="D8" s="2" t="n"/>
      <c r="E8" s="3" t="inlineStr">
        <is>
          <t>Tax Rate</t>
        </is>
      </c>
      <c r="F8" s="17" t="n">
        <v>0.22</v>
      </c>
      <c r="G8" s="2" t="n"/>
      <c r="H8" s="2" t="n"/>
      <c r="I8" s="2" t="n"/>
      <c r="J8" s="2" t="n"/>
      <c r="K8" s="2" t="n"/>
      <c r="L8" s="2" t="n"/>
      <c r="M8" s="2" t="n"/>
      <c r="N8" s="2" t="n"/>
    </row>
    <row r="9">
      <c r="A9" s="3" t="inlineStr">
        <is>
          <t>Terminal Growth Rate</t>
        </is>
      </c>
      <c r="B9" s="17" t="n">
        <v>0.025</v>
      </c>
      <c r="C9" s="2" t="n"/>
      <c r="D9" s="2" t="n"/>
      <c r="E9" s="3" t="inlineStr">
        <is>
          <t>Exit EV/EBITDA Multiple</t>
        </is>
      </c>
      <c r="F9" s="19" t="n">
        <v>8</v>
      </c>
      <c r="G9" s="2" t="n"/>
      <c r="H9" s="2" t="n"/>
      <c r="I9" s="2" t="n"/>
      <c r="J9" s="2" t="n"/>
      <c r="K9" s="2" t="n"/>
      <c r="L9" s="2" t="n"/>
      <c r="M9" s="2" t="n"/>
      <c r="N9" s="2" t="n"/>
    </row>
    <row r="10">
      <c r="A10" s="2" t="n"/>
      <c r="B10" s="2" t="n"/>
      <c r="C10" s="2" t="n"/>
      <c r="D10" s="2" t="n"/>
      <c r="E10" s="2" t="n"/>
      <c r="F10" s="2" t="n"/>
      <c r="G10" s="2" t="n"/>
      <c r="H10" s="2" t="n"/>
      <c r="I10" s="2" t="n"/>
      <c r="J10" s="2" t="n"/>
      <c r="K10" s="2" t="n"/>
      <c r="L10" s="2" t="n"/>
      <c r="M10" s="2" t="n"/>
      <c r="N10" s="2" t="n"/>
    </row>
    <row r="11">
      <c r="A11" s="6" t="inlineStr">
        <is>
          <t>SCENARIO COMPARISON</t>
        </is>
      </c>
      <c r="I11" s="2" t="n"/>
      <c r="J11" s="2" t="n"/>
      <c r="K11" s="2" t="n"/>
      <c r="L11" s="2" t="n"/>
      <c r="M11" s="2" t="n"/>
      <c r="N11" s="2" t="n"/>
    </row>
    <row r="12">
      <c r="A12" s="7" t="inlineStr"/>
      <c r="B12" s="7" t="inlineStr">
        <is>
          <t>Probability</t>
        </is>
      </c>
      <c r="C12" s="7" t="inlineStr">
        <is>
          <t>Implied Price</t>
        </is>
      </c>
      <c r="D12" s="7" t="inlineStr">
        <is>
          <t>Upside/Downside</t>
        </is>
      </c>
      <c r="E12" s="7" t="inlineStr">
        <is>
          <t>PV Explicit FCF</t>
        </is>
      </c>
      <c r="F12" s="7" t="inlineStr">
        <is>
          <t>PV Terminal Value</t>
        </is>
      </c>
      <c r="G12" s="7" t="inlineStr">
        <is>
          <t>Enterprise Value</t>
        </is>
      </c>
      <c r="H12" s="7" t="inlineStr">
        <is>
          <t>TV as % of EV</t>
        </is>
      </c>
      <c r="I12" s="2" t="n"/>
      <c r="J12" s="2" t="n"/>
      <c r="K12" s="2" t="n"/>
      <c r="L12" s="2" t="n"/>
      <c r="M12" s="2" t="n"/>
      <c r="N12" s="2" t="n"/>
    </row>
    <row r="13">
      <c r="A13" s="20" t="inlineStr">
        <is>
          <t>Base Case</t>
        </is>
      </c>
      <c r="B13" s="21" t="n">
        <v>0.5</v>
      </c>
      <c r="C13" s="22" t="n">
        <v>67.14</v>
      </c>
      <c r="D13" s="23" t="n">
        <v>-0.193</v>
      </c>
      <c r="E13" s="24" t="n">
        <v>3574.4</v>
      </c>
      <c r="F13" s="24" t="n">
        <v>8450.5</v>
      </c>
      <c r="G13" s="24" t="n">
        <v>12024.9</v>
      </c>
      <c r="H13" s="21">
        <f>IFERROR(F13/G13,0)</f>
        <v/>
      </c>
      <c r="I13" s="2" t="n"/>
      <c r="J13" s="2" t="n"/>
      <c r="K13" s="2" t="n"/>
      <c r="L13" s="2" t="n"/>
      <c r="M13" s="2" t="n"/>
      <c r="N13" s="2" t="n"/>
    </row>
    <row r="14">
      <c r="A14" s="25" t="inlineStr">
        <is>
          <t>Bull Case</t>
        </is>
      </c>
      <c r="B14" s="21" t="n">
        <v>0.25</v>
      </c>
      <c r="C14" s="22" t="n">
        <v>78.52</v>
      </c>
      <c r="D14" s="23" t="n">
        <v>-0.057</v>
      </c>
      <c r="E14" s="24" t="n">
        <v>3974</v>
      </c>
      <c r="F14" s="24" t="n">
        <v>11405</v>
      </c>
      <c r="G14" s="24" t="n">
        <v>15379</v>
      </c>
      <c r="H14" s="21">
        <f>IFERROR(F14/G14,0)</f>
        <v/>
      </c>
      <c r="I14" s="2" t="n"/>
      <c r="J14" s="2" t="n"/>
      <c r="K14" s="2" t="n"/>
      <c r="L14" s="2" t="n"/>
      <c r="M14" s="2" t="n"/>
      <c r="N14" s="2" t="n"/>
    </row>
    <row r="15">
      <c r="A15" s="26" t="inlineStr">
        <is>
          <t>Bear Case</t>
        </is>
      </c>
      <c r="B15" s="21" t="n">
        <v>0.25</v>
      </c>
      <c r="C15" s="22" t="n">
        <v>44.62</v>
      </c>
      <c r="D15" s="23" t="n">
        <v>-0.464</v>
      </c>
      <c r="E15" s="24" t="n">
        <v>2517.8</v>
      </c>
      <c r="F15" s="24" t="n">
        <v>2872.3</v>
      </c>
      <c r="G15" s="24" t="n">
        <v>5390.1</v>
      </c>
      <c r="H15" s="21">
        <f>IFERROR(F15/G15,0)</f>
        <v/>
      </c>
      <c r="I15" s="2" t="n"/>
      <c r="J15" s="2" t="n"/>
      <c r="K15" s="2" t="n"/>
      <c r="L15" s="2" t="n"/>
      <c r="M15" s="2" t="n"/>
      <c r="N15" s="2" t="n"/>
    </row>
    <row r="16">
      <c r="A16" s="6" t="inlineStr">
        <is>
          <t>PROBABILITY-WEIGHTED EXPECTED VALUE</t>
        </is>
      </c>
      <c r="I16" s="2" t="n"/>
      <c r="J16" s="2" t="n"/>
      <c r="K16" s="2" t="n"/>
      <c r="L16" s="2" t="n"/>
      <c r="M16" s="2" t="n"/>
      <c r="N16" s="2" t="n"/>
    </row>
    <row r="17">
      <c r="A17" s="27" t="n"/>
      <c r="B17" s="27" t="n"/>
      <c r="C17" s="28">
        <f>C13*B13+C14*B14+C15*B15</f>
        <v/>
      </c>
      <c r="D17" s="29">
        <f>IFERROR(C17/F4-1,0)</f>
        <v/>
      </c>
      <c r="E17" s="27" t="n"/>
      <c r="F17" s="27" t="n"/>
      <c r="G17" s="27" t="n"/>
      <c r="H17" s="27" t="n"/>
      <c r="I17" s="2" t="n"/>
      <c r="J17" s="2" t="n"/>
      <c r="K17" s="2" t="n"/>
      <c r="L17" s="2" t="n"/>
      <c r="M17" s="2" t="n"/>
      <c r="N17" s="2" t="n"/>
    </row>
    <row r="18">
      <c r="A18" s="2" t="n"/>
      <c r="B18" s="2" t="n"/>
      <c r="C18" s="2" t="n"/>
      <c r="D18" s="2" t="n"/>
      <c r="E18" s="2" t="n"/>
      <c r="F18" s="2" t="n"/>
      <c r="G18" s="2" t="n"/>
      <c r="H18" s="2" t="n"/>
      <c r="I18" s="2" t="n"/>
      <c r="J18" s="2" t="n"/>
      <c r="K18" s="2" t="n"/>
      <c r="L18" s="2" t="n"/>
      <c r="M18" s="2" t="n"/>
      <c r="N18" s="2" t="n"/>
    </row>
    <row r="19">
      <c r="A19" s="6" t="inlineStr">
        <is>
          <t>BASE CASE — YEAR-BY-YEAR MODEL  (formula-driven)</t>
        </is>
      </c>
      <c r="I19" s="2" t="n"/>
      <c r="J19" s="2" t="n"/>
      <c r="K19" s="2" t="n"/>
      <c r="L19" s="2" t="n"/>
      <c r="M19" s="2" t="n"/>
      <c r="N19" s="2" t="n"/>
    </row>
    <row r="20">
      <c r="A20" s="7" t="inlineStr"/>
      <c r="B20" s="7" t="inlineStr">
        <is>
          <t>Year 1</t>
        </is>
      </c>
      <c r="C20" s="7" t="inlineStr">
        <is>
          <t>Year 2</t>
        </is>
      </c>
      <c r="D20" s="7" t="inlineStr">
        <is>
          <t>Year 3</t>
        </is>
      </c>
      <c r="E20" s="7" t="inlineStr">
        <is>
          <t>Year 4</t>
        </is>
      </c>
      <c r="F20" s="7" t="inlineStr">
        <is>
          <t>Year 5</t>
        </is>
      </c>
      <c r="G20" s="2" t="n"/>
      <c r="H20" s="2" t="n"/>
      <c r="I20" s="2" t="n"/>
      <c r="J20" s="2" t="n"/>
      <c r="K20" s="2" t="n"/>
      <c r="L20" s="2" t="n"/>
      <c r="M20" s="2" t="n"/>
      <c r="N20" s="2" t="n"/>
    </row>
    <row r="21">
      <c r="A21" s="30" t="inlineStr">
        <is>
          <t>Revenue Growth (%)</t>
        </is>
      </c>
      <c r="B21" s="31" t="n">
        <v>0.042</v>
      </c>
      <c r="C21" s="31" t="n">
        <v>0.04</v>
      </c>
      <c r="D21" s="31" t="n">
        <v>0.035</v>
      </c>
      <c r="E21" s="31" t="n">
        <v>0.03</v>
      </c>
      <c r="F21" s="31" t="n">
        <v>0.025</v>
      </c>
      <c r="G21" s="2" t="n"/>
      <c r="H21" s="2" t="n"/>
      <c r="I21" s="2" t="n"/>
      <c r="J21" s="2" t="n"/>
      <c r="K21" s="2" t="n"/>
      <c r="L21" s="2" t="n"/>
      <c r="M21" s="2" t="n"/>
      <c r="N21" s="2" t="n"/>
    </row>
    <row r="22">
      <c r="A22" s="30" t="inlineStr">
        <is>
          <t>EBIT Margin (%)</t>
        </is>
      </c>
      <c r="B22" s="31" t="n">
        <v>0.235</v>
      </c>
      <c r="C22" s="31" t="n">
        <v>0.238</v>
      </c>
      <c r="D22" s="31" t="n">
        <v>0.24</v>
      </c>
      <c r="E22" s="31" t="n">
        <v>0.24</v>
      </c>
      <c r="F22" s="31" t="n">
        <v>0.24</v>
      </c>
      <c r="G22" s="2" t="n"/>
      <c r="H22" s="2" t="n"/>
      <c r="I22" s="2" t="n"/>
      <c r="J22" s="2" t="n"/>
      <c r="K22" s="2" t="n"/>
      <c r="L22" s="2" t="n"/>
      <c r="M22" s="2" t="n"/>
      <c r="N22" s="2" t="n"/>
    </row>
    <row r="23">
      <c r="A23" s="30" t="inlineStr">
        <is>
          <t>D&amp;A (% of Revenue)</t>
        </is>
      </c>
      <c r="B23" s="31" t="n">
        <v>0.027</v>
      </c>
      <c r="C23" s="2" t="n"/>
      <c r="D23" s="2" t="n"/>
      <c r="E23" s="2" t="n"/>
      <c r="F23" s="2" t="n"/>
      <c r="G23" s="2" t="n"/>
      <c r="H23" s="2" t="n"/>
      <c r="I23" s="2" t="n"/>
      <c r="J23" s="2" t="n"/>
      <c r="K23" s="2" t="n"/>
      <c r="L23" s="2" t="n"/>
      <c r="M23" s="2" t="n"/>
      <c r="N23" s="2" t="n"/>
    </row>
    <row r="24">
      <c r="A24" s="30" t="inlineStr">
        <is>
          <t>Capex (% of Revenue)</t>
        </is>
      </c>
      <c r="B24" s="31" t="n">
        <v>0.04</v>
      </c>
      <c r="C24" s="2" t="n"/>
      <c r="D24" s="2" t="n"/>
      <c r="E24" s="2" t="n"/>
      <c r="F24" s="2" t="n"/>
      <c r="G24" s="2" t="n"/>
      <c r="H24" s="2" t="n"/>
      <c r="I24" s="2" t="n"/>
      <c r="J24" s="2" t="n"/>
      <c r="K24" s="2" t="n"/>
      <c r="L24" s="2" t="n"/>
      <c r="M24" s="2" t="n"/>
      <c r="N24" s="2" t="n"/>
    </row>
    <row r="25">
      <c r="A25" s="30" t="inlineStr">
        <is>
          <t>Tax Rate (%)</t>
        </is>
      </c>
      <c r="B25" s="31" t="n">
        <v>0.22</v>
      </c>
      <c r="C25" s="2" t="n"/>
      <c r="D25" s="2" t="n"/>
      <c r="E25" s="2" t="n"/>
      <c r="F25" s="2" t="n"/>
      <c r="G25" s="2" t="n"/>
      <c r="H25" s="2" t="n"/>
      <c r="I25" s="2" t="n"/>
      <c r="J25" s="2" t="n"/>
      <c r="K25" s="2" t="n"/>
      <c r="L25" s="2" t="n"/>
      <c r="M25" s="2" t="n"/>
      <c r="N25" s="2" t="n"/>
    </row>
    <row r="26">
      <c r="A26" s="2" t="n"/>
      <c r="B26" s="2" t="n"/>
      <c r="C26" s="2" t="n"/>
      <c r="D26" s="2" t="n"/>
      <c r="E26" s="2" t="n"/>
      <c r="F26" s="2" t="n"/>
      <c r="G26" s="2" t="n"/>
      <c r="H26" s="2" t="n"/>
      <c r="I26" s="2" t="n"/>
      <c r="J26" s="2" t="n"/>
      <c r="K26" s="2" t="n"/>
      <c r="L26" s="2" t="n"/>
      <c r="M26" s="2" t="n"/>
      <c r="N26" s="2" t="n"/>
    </row>
    <row r="27">
      <c r="A27" s="32" t="inlineStr">
        <is>
          <t>Revenue ($mm)</t>
        </is>
      </c>
      <c r="B27" s="24">
        <f>B6*(1+B21)</f>
        <v/>
      </c>
      <c r="C27" s="24">
        <f>B27*(1+C21)</f>
        <v/>
      </c>
      <c r="D27" s="24">
        <f>C27*(1+D21)</f>
        <v/>
      </c>
      <c r="E27" s="24">
        <f>D27*(1+E21)</f>
        <v/>
      </c>
      <c r="F27" s="24">
        <f>E27*(1+F21)</f>
        <v/>
      </c>
      <c r="G27" s="2" t="n"/>
      <c r="H27" s="2" t="n"/>
      <c r="I27" s="2" t="n"/>
      <c r="J27" s="2" t="n"/>
      <c r="K27" s="2" t="n"/>
      <c r="L27" s="2" t="n"/>
      <c r="M27" s="2" t="n"/>
      <c r="N27" s="2" t="n"/>
    </row>
    <row r="28">
      <c r="A28" s="33" t="inlineStr">
        <is>
          <t>EBITDA ($mm)</t>
        </is>
      </c>
      <c r="B28" s="34">
        <f>B27*(B22+$B$23)</f>
        <v/>
      </c>
      <c r="C28" s="34">
        <f>C27*(C22+$B$23)</f>
        <v/>
      </c>
      <c r="D28" s="34">
        <f>D27*(D22+$B$23)</f>
        <v/>
      </c>
      <c r="E28" s="34">
        <f>E27*(E22+$B$23)</f>
        <v/>
      </c>
      <c r="F28" s="34">
        <f>F27*(F22+$B$23)</f>
        <v/>
      </c>
      <c r="G28" s="2" t="n"/>
      <c r="H28" s="2" t="n"/>
      <c r="I28" s="2" t="n"/>
      <c r="J28" s="2" t="n"/>
      <c r="K28" s="2" t="n"/>
      <c r="L28" s="2" t="n"/>
      <c r="M28" s="2" t="n"/>
      <c r="N28" s="2" t="n"/>
    </row>
    <row r="29">
      <c r="A29" s="32" t="inlineStr">
        <is>
          <t>EBIT ($mm)</t>
        </is>
      </c>
      <c r="B29" s="24">
        <f>B27*B22</f>
        <v/>
      </c>
      <c r="C29" s="24">
        <f>C27*C22</f>
        <v/>
      </c>
      <c r="D29" s="24">
        <f>D27*D22</f>
        <v/>
      </c>
      <c r="E29" s="24">
        <f>E27*E22</f>
        <v/>
      </c>
      <c r="F29" s="24">
        <f>F27*F22</f>
        <v/>
      </c>
      <c r="G29" s="2" t="n"/>
      <c r="H29" s="2" t="n"/>
      <c r="I29" s="2" t="n"/>
      <c r="J29" s="2" t="n"/>
      <c r="K29" s="2" t="n"/>
      <c r="L29" s="2" t="n"/>
      <c r="M29" s="2" t="n"/>
      <c r="N29" s="2" t="n"/>
    </row>
    <row r="30">
      <c r="A30" s="33" t="inlineStr">
        <is>
          <t>FCF ($mm)</t>
        </is>
      </c>
      <c r="B30" s="34">
        <f>B29*(1-$B$25)+B27*$B$23-B27*$B$24</f>
        <v/>
      </c>
      <c r="C30" s="34">
        <f>C29*(1-$B$25)+C27*$B$23-C27*$B$24</f>
        <v/>
      </c>
      <c r="D30" s="34">
        <f>D29*(1-$B$25)+D27*$B$23-D27*$B$24</f>
        <v/>
      </c>
      <c r="E30" s="34">
        <f>E29*(1-$B$25)+E27*$B$23-E27*$B$24</f>
        <v/>
      </c>
      <c r="F30" s="34">
        <f>F29*(1-$B$25)+F27*$B$23-F27*$B$24</f>
        <v/>
      </c>
      <c r="G30" s="2" t="n"/>
      <c r="H30" s="2" t="n"/>
      <c r="I30" s="2" t="n"/>
      <c r="J30" s="2" t="n"/>
      <c r="K30" s="2" t="n"/>
      <c r="L30" s="2" t="n"/>
      <c r="M30" s="2" t="n"/>
      <c r="N30" s="2" t="n"/>
    </row>
    <row r="31">
      <c r="A31" s="32" t="inlineStr">
        <is>
          <t>PV of FCF ($mm)</t>
        </is>
      </c>
      <c r="B31" s="24">
        <f>B30/((1+F6)^1)</f>
        <v/>
      </c>
      <c r="C31" s="24">
        <f>C30/((1+F6)^2)</f>
        <v/>
      </c>
      <c r="D31" s="24">
        <f>D30/((1+F6)^3)</f>
        <v/>
      </c>
      <c r="E31" s="24">
        <f>E30/((1+F6)^4)</f>
        <v/>
      </c>
      <c r="F31" s="24">
        <f>F30/((1+F6)^5)</f>
        <v/>
      </c>
      <c r="G31" s="2" t="n"/>
      <c r="H31" s="2" t="n"/>
      <c r="I31" s="2" t="n"/>
      <c r="J31" s="2" t="n"/>
      <c r="K31" s="2" t="n"/>
      <c r="L31" s="2" t="n"/>
      <c r="M31" s="2" t="n"/>
      <c r="N31" s="2" t="n"/>
    </row>
    <row r="32">
      <c r="A32" s="20" t="inlineStr">
        <is>
          <t>Cumulative PV FCF ($mm)</t>
        </is>
      </c>
      <c r="B32" s="35">
        <f>SUM(B31:F31)</f>
        <v/>
      </c>
      <c r="C32" s="2" t="n"/>
      <c r="D32" s="2" t="n"/>
      <c r="E32" s="2" t="n"/>
      <c r="F32" s="2" t="n"/>
      <c r="G32" s="2" t="n"/>
      <c r="H32" s="2" t="n"/>
      <c r="I32" s="2" t="n"/>
      <c r="J32" s="2" t="n"/>
      <c r="K32" s="2" t="n"/>
      <c r="L32" s="2" t="n"/>
      <c r="M32" s="2" t="n"/>
      <c r="N32" s="2" t="n"/>
    </row>
    <row r="33">
      <c r="A33" s="2" t="n"/>
      <c r="B33" s="2" t="n"/>
      <c r="C33" s="2" t="n"/>
      <c r="D33" s="2" t="n"/>
      <c r="E33" s="2" t="n"/>
      <c r="F33" s="2" t="n"/>
      <c r="G33" s="2" t="n"/>
      <c r="H33" s="2" t="n"/>
      <c r="I33" s="2" t="n"/>
      <c r="J33" s="2" t="n"/>
      <c r="K33" s="2" t="n"/>
      <c r="L33" s="2" t="n"/>
      <c r="M33" s="2" t="n"/>
      <c r="N33" s="2" t="n"/>
    </row>
    <row r="34">
      <c r="A34" s="6" t="inlineStr">
        <is>
          <t>REVENUE GROWTH ASSUMPTIONS — ALL SCENARIOS</t>
        </is>
      </c>
      <c r="G34" s="2" t="n"/>
      <c r="H34" s="2" t="n"/>
      <c r="I34" s="2" t="n"/>
      <c r="J34" s="2" t="n"/>
      <c r="K34" s="2" t="n"/>
      <c r="L34" s="2" t="n"/>
      <c r="M34" s="2" t="n"/>
      <c r="N34" s="2" t="n"/>
    </row>
    <row r="35">
      <c r="A35" s="7" t="inlineStr">
        <is>
          <t>Scenario</t>
        </is>
      </c>
      <c r="B35" s="7" t="inlineStr">
        <is>
          <t>Year 1</t>
        </is>
      </c>
      <c r="C35" s="7" t="inlineStr">
        <is>
          <t>Year 2</t>
        </is>
      </c>
      <c r="D35" s="7" t="inlineStr">
        <is>
          <t>Year 3</t>
        </is>
      </c>
      <c r="E35" s="7" t="inlineStr">
        <is>
          <t>Year 4</t>
        </is>
      </c>
      <c r="F35" s="7" t="inlineStr">
        <is>
          <t>Year 5</t>
        </is>
      </c>
      <c r="G35" s="2" t="n"/>
      <c r="H35" s="2" t="n"/>
      <c r="I35" s="2" t="n"/>
      <c r="J35" s="2" t="n"/>
      <c r="K35" s="2" t="n"/>
      <c r="L35" s="2" t="n"/>
      <c r="M35" s="2" t="n"/>
      <c r="N35" s="2" t="n"/>
    </row>
    <row r="36">
      <c r="A36" s="20" t="inlineStr">
        <is>
          <t>Base Case</t>
        </is>
      </c>
      <c r="B36" s="21" t="n">
        <v>0.042</v>
      </c>
      <c r="C36" s="21" t="n">
        <v>0.04</v>
      </c>
      <c r="D36" s="21" t="n">
        <v>0.035</v>
      </c>
      <c r="E36" s="21" t="n">
        <v>0.03</v>
      </c>
      <c r="F36" s="21" t="n">
        <v>0.025</v>
      </c>
      <c r="G36" s="2" t="n"/>
      <c r="H36" s="2" t="n"/>
      <c r="I36" s="2" t="n"/>
      <c r="J36" s="2" t="n"/>
      <c r="K36" s="2" t="n"/>
      <c r="L36" s="2" t="n"/>
      <c r="M36" s="2" t="n"/>
      <c r="N36" s="2" t="n"/>
    </row>
    <row r="37">
      <c r="A37" s="25" t="inlineStr">
        <is>
          <t>Bull Case</t>
        </is>
      </c>
      <c r="B37" s="21" t="n">
        <v>0.06</v>
      </c>
      <c r="C37" s="21" t="n">
        <v>0.07000000000000001</v>
      </c>
      <c r="D37" s="21" t="n">
        <v>0.07000000000000001</v>
      </c>
      <c r="E37" s="21" t="n">
        <v>0.05</v>
      </c>
      <c r="F37" s="21" t="n">
        <v>0.04</v>
      </c>
      <c r="G37" s="2" t="n"/>
      <c r="H37" s="2" t="n"/>
      <c r="I37" s="2" t="n"/>
      <c r="J37" s="2" t="n"/>
      <c r="K37" s="2" t="n"/>
      <c r="L37" s="2" t="n"/>
      <c r="M37" s="2" t="n"/>
      <c r="N37" s="2" t="n"/>
    </row>
    <row r="38">
      <c r="A38" s="26" t="inlineStr">
        <is>
          <t>Bear Case</t>
        </is>
      </c>
      <c r="B38" s="21" t="n">
        <v>0.02</v>
      </c>
      <c r="C38" s="21" t="n">
        <v>0.005</v>
      </c>
      <c r="D38" s="21" t="n">
        <v>-0.01</v>
      </c>
      <c r="E38" s="21" t="n">
        <v>-0.02</v>
      </c>
      <c r="F38" s="21" t="n">
        <v>-0.025</v>
      </c>
      <c r="G38" s="2" t="n"/>
      <c r="H38" s="2" t="n"/>
      <c r="I38" s="2" t="n"/>
      <c r="J38" s="2" t="n"/>
      <c r="K38" s="2" t="n"/>
      <c r="L38" s="2" t="n"/>
      <c r="M38" s="2" t="n"/>
      <c r="N38" s="2" t="n"/>
    </row>
    <row r="39">
      <c r="A39" s="2" t="n"/>
      <c r="B39" s="2" t="n"/>
      <c r="C39" s="2" t="n"/>
      <c r="D39" s="2" t="n"/>
      <c r="E39" s="2" t="n"/>
      <c r="F39" s="2" t="n"/>
      <c r="G39" s="2" t="n"/>
      <c r="H39" s="2" t="n"/>
      <c r="I39" s="2" t="n"/>
      <c r="J39" s="2" t="n"/>
      <c r="K39" s="2" t="n"/>
      <c r="L39" s="2" t="n"/>
      <c r="M39" s="2" t="n"/>
      <c r="N39" s="2" t="n"/>
    </row>
    <row r="40">
      <c r="A40" s="2" t="n"/>
      <c r="B40" s="2" t="n"/>
      <c r="C40" s="2" t="n"/>
      <c r="D40" s="2" t="n"/>
      <c r="E40" s="2" t="n"/>
      <c r="F40" s="2" t="n"/>
      <c r="G40" s="2" t="n"/>
      <c r="H40" s="2" t="n"/>
      <c r="I40" s="2" t="n"/>
      <c r="J40" s="2" t="n"/>
      <c r="K40" s="2" t="n"/>
      <c r="L40" s="2" t="n"/>
      <c r="M40" s="2" t="n"/>
      <c r="N40" s="2" t="n"/>
    </row>
    <row r="41">
      <c r="A41" s="6" t="inlineStr">
        <is>
          <t>SENSITIVITY TABLE — Implied Price ($) by WACC and Exit EV/EBITDA Multiple</t>
        </is>
      </c>
      <c r="I41" s="2" t="n"/>
      <c r="J41" s="2" t="n"/>
      <c r="K41" s="2" t="n"/>
      <c r="L41" s="2" t="n"/>
      <c r="M41" s="2" t="n"/>
      <c r="N41" s="2" t="n"/>
    </row>
    <row r="42">
      <c r="A42" s="7" t="inlineStr">
        <is>
          <t>WACC \ Exit</t>
        </is>
      </c>
      <c r="B42" s="7" t="inlineStr">
        <is>
          <t>10.0x</t>
        </is>
      </c>
      <c r="C42" s="7" t="inlineStr">
        <is>
          <t>12.0x</t>
        </is>
      </c>
      <c r="D42" s="7" t="inlineStr">
        <is>
          <t>4.0x</t>
        </is>
      </c>
      <c r="E42" s="7" t="inlineStr">
        <is>
          <t>6.0x</t>
        </is>
      </c>
      <c r="F42" s="7" t="inlineStr">
        <is>
          <t>8.0x</t>
        </is>
      </c>
      <c r="G42" s="2" t="n"/>
      <c r="H42" s="2" t="n"/>
      <c r="I42" s="2" t="n"/>
      <c r="J42" s="2" t="n"/>
      <c r="K42" s="2" t="n"/>
      <c r="L42" s="2" t="n"/>
      <c r="M42" s="2" t="n"/>
      <c r="N42" s="2" t="n"/>
    </row>
    <row r="43">
      <c r="A43" s="32" t="inlineStr">
        <is>
          <t>10.1%</t>
        </is>
      </c>
      <c r="B43" s="22" t="n">
        <v>68.64</v>
      </c>
      <c r="C43" s="22" t="n">
        <v>71.87</v>
      </c>
      <c r="D43" s="22" t="n">
        <v>58.95</v>
      </c>
      <c r="E43" s="22" t="n">
        <v>62.18</v>
      </c>
      <c r="F43" s="22" t="n">
        <v>65.41</v>
      </c>
      <c r="G43" s="2" t="n"/>
      <c r="H43" s="2" t="n"/>
      <c r="I43" s="2" t="n"/>
      <c r="J43" s="2" t="n"/>
      <c r="K43" s="2" t="n"/>
      <c r="L43" s="2" t="n"/>
      <c r="M43" s="2" t="n"/>
      <c r="N43" s="2" t="n"/>
    </row>
    <row r="44">
      <c r="A44" s="33" t="inlineStr">
        <is>
          <t>10.6%</t>
        </is>
      </c>
      <c r="B44" s="36" t="n">
        <v>66.95</v>
      </c>
      <c r="C44" s="36" t="n">
        <v>70.09999999999999</v>
      </c>
      <c r="D44" s="36" t="n">
        <v>57.48</v>
      </c>
      <c r="E44" s="36" t="n">
        <v>60.63</v>
      </c>
      <c r="F44" s="36" t="n">
        <v>63.79</v>
      </c>
      <c r="G44" s="2" t="n"/>
      <c r="H44" s="2" t="n"/>
      <c r="I44" s="2" t="n"/>
      <c r="J44" s="2" t="n"/>
      <c r="K44" s="2" t="n"/>
      <c r="L44" s="2" t="n"/>
      <c r="M44" s="2" t="n"/>
      <c r="N44" s="2" t="n"/>
    </row>
    <row r="45">
      <c r="A45" s="32" t="inlineStr">
        <is>
          <t>8.6%</t>
        </is>
      </c>
      <c r="B45" s="22" t="n">
        <v>75.01000000000001</v>
      </c>
      <c r="C45" s="22" t="n">
        <v>78.47</v>
      </c>
      <c r="D45" s="22" t="n">
        <v>64.64</v>
      </c>
      <c r="E45" s="22" t="n">
        <v>68.09999999999999</v>
      </c>
      <c r="F45" s="22" t="n">
        <v>71.56</v>
      </c>
      <c r="G45" s="2" t="n"/>
      <c r="H45" s="2" t="n"/>
      <c r="I45" s="2" t="n"/>
      <c r="J45" s="2" t="n"/>
      <c r="K45" s="2" t="n"/>
      <c r="L45" s="2" t="n"/>
      <c r="M45" s="2" t="n"/>
      <c r="N45" s="2" t="n"/>
    </row>
    <row r="46">
      <c r="A46" s="33" t="inlineStr">
        <is>
          <t>9.1%</t>
        </is>
      </c>
      <c r="B46" s="36" t="n">
        <v>72.62</v>
      </c>
      <c r="C46" s="36" t="n">
        <v>76</v>
      </c>
      <c r="D46" s="36" t="n">
        <v>62.49</v>
      </c>
      <c r="E46" s="36" t="n">
        <v>65.87</v>
      </c>
      <c r="F46" s="36" t="n">
        <v>69.23999999999999</v>
      </c>
      <c r="G46" s="2" t="n"/>
      <c r="H46" s="2" t="n"/>
      <c r="I46" s="2" t="n"/>
      <c r="J46" s="2" t="n"/>
      <c r="K46" s="2" t="n"/>
      <c r="L46" s="2" t="n"/>
      <c r="M46" s="2" t="n"/>
      <c r="N46" s="2" t="n"/>
    </row>
    <row r="47">
      <c r="A47" s="32" t="inlineStr">
        <is>
          <t>9.6%</t>
        </is>
      </c>
      <c r="B47" s="22" t="n">
        <v>70.52</v>
      </c>
      <c r="C47" s="22" t="n">
        <v>73.81999999999999</v>
      </c>
      <c r="D47" s="22" t="n">
        <v>60.61</v>
      </c>
      <c r="E47" s="22" t="n">
        <v>63.91</v>
      </c>
      <c r="F47" s="22" t="n">
        <v>67.20999999999999</v>
      </c>
      <c r="G47" s="2" t="n"/>
      <c r="H47" s="2" t="n"/>
      <c r="I47" s="2" t="n"/>
      <c r="J47" s="2" t="n"/>
      <c r="K47" s="2" t="n"/>
      <c r="L47" s="2" t="n"/>
      <c r="M47" s="2" t="n"/>
      <c r="N47" s="2" t="n"/>
    </row>
    <row r="48">
      <c r="A48" s="2" t="n"/>
      <c r="B48" s="2" t="n"/>
      <c r="C48" s="2" t="n"/>
      <c r="D48" s="2" t="n"/>
      <c r="E48" s="2" t="n"/>
      <c r="F48" s="2" t="n"/>
      <c r="G48" s="2" t="n"/>
      <c r="H48" s="2" t="n"/>
      <c r="I48" s="2" t="n"/>
      <c r="J48" s="2" t="n"/>
      <c r="K48" s="2" t="n"/>
      <c r="L48" s="2" t="n"/>
      <c r="M48" s="2" t="n"/>
      <c r="N48" s="2" t="n"/>
    </row>
    <row r="49">
      <c r="A49" s="2" t="n"/>
      <c r="B49" s="2" t="n"/>
      <c r="C49" s="2" t="n"/>
      <c r="D49" s="2" t="n"/>
      <c r="E49" s="2" t="n"/>
      <c r="F49" s="2" t="n"/>
      <c r="G49" s="2" t="n"/>
      <c r="H49" s="2" t="n"/>
      <c r="I49" s="2" t="n"/>
      <c r="J49" s="2" t="n"/>
      <c r="K49" s="2" t="n"/>
      <c r="L49" s="2" t="n"/>
      <c r="M49" s="2" t="n"/>
      <c r="N49" s="2" t="n"/>
    </row>
    <row r="50">
      <c r="A50" s="2" t="n"/>
      <c r="B50" s="2" t="n"/>
      <c r="C50" s="2" t="n"/>
      <c r="D50" s="2" t="n"/>
      <c r="E50" s="2" t="n"/>
      <c r="F50" s="2" t="n"/>
      <c r="G50" s="2" t="n"/>
      <c r="H50" s="2" t="n"/>
      <c r="I50" s="2" t="n"/>
      <c r="J50" s="2" t="n"/>
      <c r="K50" s="2" t="n"/>
      <c r="L50" s="2" t="n"/>
      <c r="M50" s="2" t="n"/>
      <c r="N50" s="2" t="n"/>
    </row>
    <row r="51">
      <c r="A51" s="2" t="n"/>
      <c r="B51" s="2" t="n"/>
      <c r="C51" s="2" t="n"/>
      <c r="D51" s="2" t="n"/>
      <c r="E51" s="2" t="n"/>
      <c r="F51" s="2" t="n"/>
      <c r="G51" s="2" t="n"/>
      <c r="H51" s="2" t="n"/>
      <c r="I51" s="2" t="n"/>
      <c r="J51" s="2" t="n"/>
      <c r="K51" s="2" t="n"/>
      <c r="L51" s="2" t="n"/>
      <c r="M51" s="2" t="n"/>
      <c r="N51" s="2" t="n"/>
    </row>
    <row r="52">
      <c r="A52" s="2" t="n"/>
      <c r="B52" s="2" t="n"/>
      <c r="C52" s="2" t="n"/>
      <c r="D52" s="2" t="n"/>
      <c r="E52" s="2" t="n"/>
      <c r="F52" s="2" t="n"/>
      <c r="G52" s="2" t="n"/>
      <c r="H52" s="2" t="n"/>
      <c r="I52" s="2" t="n"/>
      <c r="J52" s="2" t="n"/>
      <c r="K52" s="2" t="n"/>
      <c r="L52" s="2" t="n"/>
      <c r="M52" s="2" t="n"/>
      <c r="N52" s="2" t="n"/>
    </row>
    <row r="53">
      <c r="A53" s="2" t="n"/>
      <c r="B53" s="2" t="n"/>
      <c r="C53" s="2" t="n"/>
      <c r="D53" s="2" t="n"/>
      <c r="E53" s="2" t="n"/>
      <c r="F53" s="2" t="n"/>
      <c r="G53" s="2" t="n"/>
      <c r="H53" s="2" t="n"/>
      <c r="I53" s="2" t="n"/>
      <c r="J53" s="2" t="n"/>
      <c r="K53" s="2" t="n"/>
      <c r="L53" s="2" t="n"/>
      <c r="M53" s="2" t="n"/>
      <c r="N53" s="2" t="n"/>
    </row>
    <row r="54">
      <c r="A54" s="2" t="n"/>
      <c r="B54" s="2" t="n"/>
      <c r="C54" s="2" t="n"/>
      <c r="D54" s="2" t="n"/>
      <c r="E54" s="2" t="n"/>
      <c r="F54" s="2" t="n"/>
      <c r="G54" s="2" t="n"/>
      <c r="H54" s="2" t="n"/>
      <c r="I54" s="2" t="n"/>
      <c r="J54" s="2" t="n"/>
      <c r="K54" s="2" t="n"/>
      <c r="L54" s="2" t="n"/>
      <c r="M54" s="2" t="n"/>
      <c r="N54" s="2" t="n"/>
    </row>
    <row r="55">
      <c r="A55" s="2" t="n"/>
      <c r="B55" s="2" t="n"/>
      <c r="C55" s="2" t="n"/>
      <c r="D55" s="2" t="n"/>
      <c r="E55" s="2" t="n"/>
      <c r="F55" s="2" t="n"/>
      <c r="G55" s="2" t="n"/>
      <c r="H55" s="2" t="n"/>
      <c r="I55" s="2" t="n"/>
      <c r="J55" s="2" t="n"/>
      <c r="K55" s="2" t="n"/>
      <c r="L55" s="2" t="n"/>
      <c r="M55" s="2" t="n"/>
      <c r="N55" s="2" t="n"/>
    </row>
    <row r="56">
      <c r="A56" s="2" t="n"/>
      <c r="B56" s="2" t="n"/>
      <c r="C56" s="2" t="n"/>
      <c r="D56" s="2" t="n"/>
      <c r="E56" s="2" t="n"/>
      <c r="F56" s="2" t="n"/>
      <c r="G56" s="2" t="n"/>
      <c r="H56" s="2" t="n"/>
      <c r="I56" s="2" t="n"/>
      <c r="J56" s="2" t="n"/>
      <c r="K56" s="2" t="n"/>
      <c r="L56" s="2" t="n"/>
      <c r="M56" s="2" t="n"/>
      <c r="N56" s="2" t="n"/>
    </row>
    <row r="57">
      <c r="A57" s="2" t="n"/>
      <c r="B57" s="2" t="n"/>
      <c r="C57" s="2" t="n"/>
      <c r="D57" s="2" t="n"/>
      <c r="E57" s="2" t="n"/>
      <c r="F57" s="2" t="n"/>
      <c r="G57" s="2" t="n"/>
      <c r="H57" s="2" t="n"/>
      <c r="I57" s="2" t="n"/>
      <c r="J57" s="2" t="n"/>
      <c r="K57" s="2" t="n"/>
      <c r="L57" s="2" t="n"/>
      <c r="M57" s="2" t="n"/>
      <c r="N57" s="2" t="n"/>
    </row>
    <row r="58">
      <c r="A58" s="2" t="n"/>
      <c r="B58" s="2" t="n"/>
      <c r="C58" s="2" t="n"/>
      <c r="D58" s="2" t="n"/>
      <c r="E58" s="2" t="n"/>
      <c r="F58" s="2" t="n"/>
      <c r="G58" s="2" t="n"/>
      <c r="H58" s="2" t="n"/>
      <c r="I58" s="2" t="n"/>
      <c r="J58" s="2" t="n"/>
      <c r="K58" s="2" t="n"/>
      <c r="L58" s="2" t="n"/>
      <c r="M58" s="2" t="n"/>
      <c r="N58" s="2" t="n"/>
    </row>
    <row r="59">
      <c r="A59" s="2" t="n"/>
      <c r="B59" s="2" t="n"/>
      <c r="C59" s="2" t="n"/>
      <c r="D59" s="2" t="n"/>
      <c r="E59" s="2" t="n"/>
      <c r="F59" s="2" t="n"/>
      <c r="G59" s="2" t="n"/>
      <c r="H59" s="2" t="n"/>
      <c r="I59" s="2" t="n"/>
      <c r="J59" s="2" t="n"/>
      <c r="K59" s="2" t="n"/>
      <c r="L59" s="2" t="n"/>
      <c r="M59" s="2" t="n"/>
      <c r="N59" s="2" t="n"/>
    </row>
    <row r="60">
      <c r="A60" s="2" t="n"/>
      <c r="B60" s="2" t="n"/>
      <c r="C60" s="2" t="n"/>
      <c r="D60" s="2" t="n"/>
      <c r="E60" s="2" t="n"/>
      <c r="F60" s="2" t="n"/>
      <c r="G60" s="2" t="n"/>
      <c r="H60" s="2" t="n"/>
      <c r="I60" s="2" t="n"/>
      <c r="J60" s="2" t="n"/>
      <c r="K60" s="2" t="n"/>
      <c r="L60" s="2" t="n"/>
      <c r="M60" s="2" t="n"/>
      <c r="N60" s="2" t="n"/>
    </row>
    <row r="61">
      <c r="A61" s="2" t="n"/>
      <c r="B61" s="2" t="n"/>
      <c r="C61" s="2" t="n"/>
      <c r="D61" s="2" t="n"/>
      <c r="E61" s="2" t="n"/>
      <c r="F61" s="2" t="n"/>
      <c r="G61" s="2" t="n"/>
      <c r="H61" s="2" t="n"/>
      <c r="I61" s="2" t="n"/>
      <c r="J61" s="2" t="n"/>
      <c r="K61" s="2" t="n"/>
      <c r="L61" s="2" t="n"/>
      <c r="M61" s="2" t="n"/>
      <c r="N61" s="2" t="n"/>
    </row>
    <row r="62">
      <c r="A62" s="2" t="n"/>
      <c r="B62" s="2" t="n"/>
      <c r="C62" s="2" t="n"/>
      <c r="D62" s="2" t="n"/>
      <c r="E62" s="2" t="n"/>
      <c r="F62" s="2" t="n"/>
      <c r="G62" s="2" t="n"/>
      <c r="H62" s="2" t="n"/>
      <c r="I62" s="2" t="n"/>
      <c r="J62" s="2" t="n"/>
      <c r="K62" s="2" t="n"/>
      <c r="L62" s="2" t="n"/>
      <c r="M62" s="2" t="n"/>
      <c r="N62" s="2" t="n"/>
    </row>
    <row r="63">
      <c r="A63" s="2" t="n"/>
      <c r="B63" s="2" t="n"/>
      <c r="C63" s="2" t="n"/>
      <c r="D63" s="2" t="n"/>
      <c r="E63" s="2" t="n"/>
      <c r="F63" s="2" t="n"/>
      <c r="G63" s="2" t="n"/>
      <c r="H63" s="2" t="n"/>
      <c r="I63" s="2" t="n"/>
      <c r="J63" s="2" t="n"/>
      <c r="K63" s="2" t="n"/>
      <c r="L63" s="2" t="n"/>
      <c r="M63" s="2" t="n"/>
      <c r="N63" s="2" t="n"/>
    </row>
    <row r="64">
      <c r="A64" s="2" t="n"/>
      <c r="B64" s="2" t="n"/>
      <c r="C64" s="2" t="n"/>
      <c r="D64" s="2" t="n"/>
      <c r="E64" s="2" t="n"/>
      <c r="F64" s="2" t="n"/>
      <c r="G64" s="2" t="n"/>
      <c r="H64" s="2" t="n"/>
      <c r="I64" s="2" t="n"/>
      <c r="J64" s="2" t="n"/>
      <c r="K64" s="2" t="n"/>
      <c r="L64" s="2" t="n"/>
      <c r="M64" s="2" t="n"/>
      <c r="N64" s="2" t="n"/>
    </row>
    <row r="65">
      <c r="A65" s="2" t="n"/>
      <c r="B65" s="2" t="n"/>
      <c r="C65" s="2" t="n"/>
      <c r="D65" s="2" t="n"/>
      <c r="E65" s="2" t="n"/>
      <c r="F65" s="2" t="n"/>
      <c r="G65" s="2" t="n"/>
      <c r="H65" s="2" t="n"/>
      <c r="I65" s="2" t="n"/>
      <c r="J65" s="2" t="n"/>
      <c r="K65" s="2" t="n"/>
      <c r="L65" s="2" t="n"/>
      <c r="M65" s="2" t="n"/>
      <c r="N65" s="2" t="n"/>
    </row>
    <row r="66">
      <c r="A66" s="2" t="n"/>
      <c r="B66" s="2" t="n"/>
      <c r="C66" s="2" t="n"/>
      <c r="D66" s="2" t="n"/>
      <c r="E66" s="2" t="n"/>
      <c r="F66" s="2" t="n"/>
      <c r="G66" s="2" t="n"/>
      <c r="H66" s="2" t="n"/>
      <c r="I66" s="2" t="n"/>
      <c r="J66" s="2" t="n"/>
      <c r="K66" s="2" t="n"/>
      <c r="L66" s="2" t="n"/>
      <c r="M66" s="2" t="n"/>
      <c r="N66" s="2" t="n"/>
    </row>
    <row r="67">
      <c r="A67" s="2" t="n"/>
      <c r="B67" s="2" t="n"/>
      <c r="C67" s="2" t="n"/>
      <c r="D67" s="2" t="n"/>
      <c r="E67" s="2" t="n"/>
      <c r="F67" s="2" t="n"/>
      <c r="G67" s="2" t="n"/>
      <c r="H67" s="2" t="n"/>
      <c r="I67" s="2" t="n"/>
      <c r="J67" s="2" t="n"/>
      <c r="K67" s="2" t="n"/>
      <c r="L67" s="2" t="n"/>
      <c r="M67" s="2" t="n"/>
      <c r="N67" s="2" t="n"/>
    </row>
    <row r="68">
      <c r="A68" s="2" t="n"/>
      <c r="B68" s="2" t="n"/>
      <c r="C68" s="2" t="n"/>
      <c r="D68" s="2" t="n"/>
      <c r="E68" s="2" t="n"/>
      <c r="F68" s="2" t="n"/>
      <c r="G68" s="2" t="n"/>
      <c r="H68" s="2" t="n"/>
      <c r="I68" s="2" t="n"/>
      <c r="J68" s="2" t="n"/>
      <c r="K68" s="2" t="n"/>
      <c r="L68" s="2" t="n"/>
      <c r="M68" s="2" t="n"/>
      <c r="N68" s="2" t="n"/>
    </row>
    <row r="69">
      <c r="A69" s="2" t="n"/>
      <c r="B69" s="2" t="n"/>
      <c r="C69" s="2" t="n"/>
      <c r="D69" s="2" t="n"/>
      <c r="E69" s="2" t="n"/>
      <c r="F69" s="2" t="n"/>
      <c r="G69" s="2" t="n"/>
      <c r="H69" s="2" t="n"/>
      <c r="I69" s="2" t="n"/>
      <c r="J69" s="2" t="n"/>
      <c r="K69" s="2" t="n"/>
      <c r="L69" s="2" t="n"/>
      <c r="M69" s="2" t="n"/>
      <c r="N69" s="2" t="n"/>
    </row>
    <row r="70">
      <c r="A70" s="2" t="n"/>
      <c r="B70" s="2" t="n"/>
      <c r="C70" s="2" t="n"/>
      <c r="D70" s="2" t="n"/>
      <c r="E70" s="2" t="n"/>
      <c r="F70" s="2" t="n"/>
      <c r="G70" s="2" t="n"/>
      <c r="H70" s="2" t="n"/>
      <c r="I70" s="2" t="n"/>
      <c r="J70" s="2" t="n"/>
      <c r="K70" s="2" t="n"/>
      <c r="L70" s="2" t="n"/>
      <c r="M70" s="2" t="n"/>
      <c r="N70" s="2" t="n"/>
    </row>
    <row r="71">
      <c r="A71" s="2" t="n"/>
      <c r="B71" s="2" t="n"/>
      <c r="C71" s="2" t="n"/>
      <c r="D71" s="2" t="n"/>
      <c r="E71" s="2" t="n"/>
      <c r="F71" s="2" t="n"/>
      <c r="G71" s="2" t="n"/>
      <c r="H71" s="2" t="n"/>
      <c r="I71" s="2" t="n"/>
      <c r="J71" s="2" t="n"/>
      <c r="K71" s="2" t="n"/>
      <c r="L71" s="2" t="n"/>
      <c r="M71" s="2" t="n"/>
      <c r="N71" s="2" t="n"/>
    </row>
    <row r="72">
      <c r="A72" s="2" t="n"/>
      <c r="B72" s="2" t="n"/>
      <c r="C72" s="2" t="n"/>
      <c r="D72" s="2" t="n"/>
      <c r="E72" s="2" t="n"/>
      <c r="F72" s="2" t="n"/>
      <c r="G72" s="2" t="n"/>
      <c r="H72" s="2" t="n"/>
      <c r="I72" s="2" t="n"/>
      <c r="J72" s="2" t="n"/>
      <c r="K72" s="2" t="n"/>
      <c r="L72" s="2" t="n"/>
      <c r="M72" s="2" t="n"/>
      <c r="N72" s="2" t="n"/>
    </row>
    <row r="73">
      <c r="A73" s="2" t="n"/>
      <c r="B73" s="2" t="n"/>
      <c r="C73" s="2" t="n"/>
      <c r="D73" s="2" t="n"/>
      <c r="E73" s="2" t="n"/>
      <c r="F73" s="2" t="n"/>
      <c r="G73" s="2" t="n"/>
      <c r="H73" s="2" t="n"/>
      <c r="I73" s="2" t="n"/>
      <c r="J73" s="2" t="n"/>
      <c r="K73" s="2" t="n"/>
      <c r="L73" s="2" t="n"/>
      <c r="M73" s="2" t="n"/>
      <c r="N73" s="2" t="n"/>
    </row>
    <row r="74">
      <c r="A74" s="2" t="n"/>
      <c r="B74" s="2" t="n"/>
      <c r="C74" s="2" t="n"/>
      <c r="D74" s="2" t="n"/>
      <c r="E74" s="2" t="n"/>
      <c r="F74" s="2" t="n"/>
      <c r="G74" s="2" t="n"/>
      <c r="H74" s="2" t="n"/>
      <c r="I74" s="2" t="n"/>
      <c r="J74" s="2" t="n"/>
      <c r="K74" s="2" t="n"/>
      <c r="L74" s="2" t="n"/>
      <c r="M74" s="2" t="n"/>
      <c r="N74" s="2" t="n"/>
    </row>
    <row r="75">
      <c r="A75" s="2" t="n"/>
      <c r="B75" s="2" t="n"/>
      <c r="C75" s="2" t="n"/>
      <c r="D75" s="2" t="n"/>
      <c r="E75" s="2" t="n"/>
      <c r="F75" s="2" t="n"/>
      <c r="G75" s="2" t="n"/>
      <c r="H75" s="2" t="n"/>
      <c r="I75" s="2" t="n"/>
      <c r="J75" s="2" t="n"/>
      <c r="K75" s="2" t="n"/>
      <c r="L75" s="2" t="n"/>
      <c r="M75" s="2" t="n"/>
      <c r="N75" s="2" t="n"/>
    </row>
    <row r="76">
      <c r="A76" s="2" t="n"/>
      <c r="B76" s="2" t="n"/>
      <c r="C76" s="2" t="n"/>
      <c r="D76" s="2" t="n"/>
      <c r="E76" s="2" t="n"/>
      <c r="F76" s="2" t="n"/>
      <c r="G76" s="2" t="n"/>
      <c r="H76" s="2" t="n"/>
      <c r="I76" s="2" t="n"/>
      <c r="J76" s="2" t="n"/>
      <c r="K76" s="2" t="n"/>
      <c r="L76" s="2" t="n"/>
      <c r="M76" s="2" t="n"/>
      <c r="N76" s="2" t="n"/>
    </row>
    <row r="77">
      <c r="A77" s="2" t="n"/>
      <c r="B77" s="2" t="n"/>
      <c r="C77" s="2" t="n"/>
      <c r="D77" s="2" t="n"/>
      <c r="E77" s="2" t="n"/>
      <c r="F77" s="2" t="n"/>
      <c r="G77" s="2" t="n"/>
      <c r="H77" s="2" t="n"/>
      <c r="I77" s="2" t="n"/>
      <c r="J77" s="2" t="n"/>
      <c r="K77" s="2" t="n"/>
      <c r="L77" s="2" t="n"/>
      <c r="M77" s="2" t="n"/>
      <c r="N77" s="2" t="n"/>
    </row>
    <row r="78">
      <c r="A78" s="2" t="n"/>
      <c r="B78" s="2" t="n"/>
      <c r="C78" s="2" t="n"/>
      <c r="D78" s="2" t="n"/>
      <c r="E78" s="2" t="n"/>
      <c r="F78" s="2" t="n"/>
      <c r="G78" s="2" t="n"/>
      <c r="H78" s="2" t="n"/>
      <c r="I78" s="2" t="n"/>
      <c r="J78" s="2" t="n"/>
      <c r="K78" s="2" t="n"/>
      <c r="L78" s="2" t="n"/>
      <c r="M78" s="2" t="n"/>
      <c r="N78" s="2" t="n"/>
    </row>
    <row r="79">
      <c r="A79" s="2" t="n"/>
      <c r="B79" s="2" t="n"/>
      <c r="C79" s="2" t="n"/>
      <c r="D79" s="2" t="n"/>
      <c r="E79" s="2" t="n"/>
      <c r="F79" s="2" t="n"/>
      <c r="G79" s="2" t="n"/>
      <c r="H79" s="2" t="n"/>
      <c r="I79" s="2" t="n"/>
      <c r="J79" s="2" t="n"/>
      <c r="K79" s="2" t="n"/>
      <c r="L79" s="2" t="n"/>
      <c r="M79" s="2" t="n"/>
      <c r="N79" s="2" t="n"/>
    </row>
    <row r="80">
      <c r="A80" s="2" t="n"/>
      <c r="B80" s="2" t="n"/>
      <c r="C80" s="2" t="n"/>
      <c r="D80" s="2" t="n"/>
      <c r="E80" s="2" t="n"/>
      <c r="F80" s="2" t="n"/>
      <c r="G80" s="2" t="n"/>
      <c r="H80" s="2" t="n"/>
      <c r="I80" s="2" t="n"/>
      <c r="J80" s="2" t="n"/>
      <c r="K80" s="2" t="n"/>
      <c r="L80" s="2" t="n"/>
      <c r="M80" s="2" t="n"/>
      <c r="N80" s="2" t="n"/>
    </row>
    <row r="81">
      <c r="A81" s="2" t="n"/>
      <c r="B81" s="2" t="n"/>
      <c r="C81" s="2" t="n"/>
      <c r="D81" s="2" t="n"/>
      <c r="E81" s="2" t="n"/>
      <c r="F81" s="2" t="n"/>
      <c r="G81" s="2" t="n"/>
      <c r="H81" s="2" t="n"/>
      <c r="I81" s="2" t="n"/>
      <c r="J81" s="2" t="n"/>
      <c r="K81" s="2" t="n"/>
      <c r="L81" s="2" t="n"/>
      <c r="M81" s="2" t="n"/>
      <c r="N81" s="2" t="n"/>
    </row>
    <row r="82">
      <c r="A82" s="2" t="n"/>
      <c r="B82" s="2" t="n"/>
      <c r="C82" s="2" t="n"/>
      <c r="D82" s="2" t="n"/>
      <c r="E82" s="2" t="n"/>
      <c r="F82" s="2" t="n"/>
      <c r="G82" s="2" t="n"/>
      <c r="H82" s="2" t="n"/>
      <c r="I82" s="2" t="n"/>
      <c r="J82" s="2" t="n"/>
      <c r="K82" s="2" t="n"/>
      <c r="L82" s="2" t="n"/>
      <c r="M82" s="2" t="n"/>
      <c r="N82" s="2" t="n"/>
    </row>
    <row r="83">
      <c r="A83" s="2" t="n"/>
      <c r="B83" s="2" t="n"/>
      <c r="C83" s="2" t="n"/>
      <c r="D83" s="2" t="n"/>
      <c r="E83" s="2" t="n"/>
      <c r="F83" s="2" t="n"/>
      <c r="G83" s="2" t="n"/>
      <c r="H83" s="2" t="n"/>
      <c r="I83" s="2" t="n"/>
      <c r="J83" s="2" t="n"/>
      <c r="K83" s="2" t="n"/>
      <c r="L83" s="2" t="n"/>
      <c r="M83" s="2" t="n"/>
      <c r="N83" s="2" t="n"/>
    </row>
    <row r="84">
      <c r="A84" s="2" t="n"/>
      <c r="B84" s="2" t="n"/>
      <c r="C84" s="2" t="n"/>
      <c r="D84" s="2" t="n"/>
      <c r="E84" s="2" t="n"/>
      <c r="F84" s="2" t="n"/>
      <c r="G84" s="2" t="n"/>
      <c r="H84" s="2" t="n"/>
      <c r="I84" s="2" t="n"/>
      <c r="J84" s="2" t="n"/>
      <c r="K84" s="2" t="n"/>
      <c r="L84" s="2" t="n"/>
      <c r="M84" s="2" t="n"/>
      <c r="N84" s="2" t="n"/>
    </row>
    <row r="85">
      <c r="A85" s="2" t="n"/>
      <c r="B85" s="2" t="n"/>
      <c r="C85" s="2" t="n"/>
      <c r="D85" s="2" t="n"/>
      <c r="E85" s="2" t="n"/>
      <c r="F85" s="2" t="n"/>
      <c r="G85" s="2" t="n"/>
      <c r="H85" s="2" t="n"/>
      <c r="I85" s="2" t="n"/>
      <c r="J85" s="2" t="n"/>
      <c r="K85" s="2" t="n"/>
      <c r="L85" s="2" t="n"/>
      <c r="M85" s="2" t="n"/>
      <c r="N85" s="2" t="n"/>
    </row>
    <row r="86">
      <c r="A86" s="2" t="n"/>
      <c r="B86" s="2" t="n"/>
      <c r="C86" s="2" t="n"/>
      <c r="D86" s="2" t="n"/>
      <c r="E86" s="2" t="n"/>
      <c r="F86" s="2" t="n"/>
      <c r="G86" s="2" t="n"/>
      <c r="H86" s="2" t="n"/>
      <c r="I86" s="2" t="n"/>
      <c r="J86" s="2" t="n"/>
      <c r="K86" s="2" t="n"/>
      <c r="L86" s="2" t="n"/>
      <c r="M86" s="2" t="n"/>
      <c r="N86" s="2" t="n"/>
    </row>
    <row r="87">
      <c r="A87" s="2" t="n"/>
      <c r="B87" s="2" t="n"/>
      <c r="C87" s="2" t="n"/>
      <c r="D87" s="2" t="n"/>
      <c r="E87" s="2" t="n"/>
      <c r="F87" s="2" t="n"/>
      <c r="G87" s="2" t="n"/>
      <c r="H87" s="2" t="n"/>
      <c r="I87" s="2" t="n"/>
      <c r="J87" s="2" t="n"/>
      <c r="K87" s="2" t="n"/>
      <c r="L87" s="2" t="n"/>
      <c r="M87" s="2" t="n"/>
      <c r="N87" s="2" t="n"/>
    </row>
    <row r="88">
      <c r="A88" s="2" t="n"/>
      <c r="B88" s="2" t="n"/>
      <c r="C88" s="2" t="n"/>
      <c r="D88" s="2" t="n"/>
      <c r="E88" s="2" t="n"/>
      <c r="F88" s="2" t="n"/>
      <c r="G88" s="2" t="n"/>
      <c r="H88" s="2" t="n"/>
      <c r="I88" s="2" t="n"/>
      <c r="J88" s="2" t="n"/>
      <c r="K88" s="2" t="n"/>
      <c r="L88" s="2" t="n"/>
      <c r="M88" s="2" t="n"/>
      <c r="N88" s="2" t="n"/>
    </row>
    <row r="89">
      <c r="A89" s="2" t="n"/>
      <c r="B89" s="2" t="n"/>
      <c r="C89" s="2" t="n"/>
      <c r="D89" s="2" t="n"/>
      <c r="E89" s="2" t="n"/>
      <c r="F89" s="2" t="n"/>
      <c r="G89" s="2" t="n"/>
      <c r="H89" s="2" t="n"/>
      <c r="I89" s="2" t="n"/>
      <c r="J89" s="2" t="n"/>
      <c r="K89" s="2" t="n"/>
      <c r="L89" s="2" t="n"/>
      <c r="M89" s="2" t="n"/>
      <c r="N89" s="2" t="n"/>
    </row>
    <row r="90">
      <c r="A90" s="2" t="n"/>
      <c r="B90" s="2" t="n"/>
      <c r="C90" s="2" t="n"/>
      <c r="D90" s="2" t="n"/>
      <c r="E90" s="2" t="n"/>
      <c r="F90" s="2" t="n"/>
      <c r="G90" s="2" t="n"/>
      <c r="H90" s="2" t="n"/>
      <c r="I90" s="2" t="n"/>
      <c r="J90" s="2" t="n"/>
      <c r="K90" s="2" t="n"/>
      <c r="L90" s="2" t="n"/>
      <c r="M90" s="2" t="n"/>
      <c r="N90" s="2" t="n"/>
    </row>
  </sheetData>
  <mergeCells count="7">
    <mergeCell ref="A16:H16"/>
    <mergeCell ref="A41:H41"/>
    <mergeCell ref="A19:H19"/>
    <mergeCell ref="A11:H11"/>
    <mergeCell ref="A34:F34"/>
    <mergeCell ref="A1:H1"/>
    <mergeCell ref="A3:F3"/>
  </mergeCells>
  <pageMargins left="0.75" right="0.75" top="1" bottom="1" header="0.5" footer="0.5"/>
</worksheet>
</file>

<file path=xl/worksheets/sheet3.xml><?xml version="1.0" encoding="utf-8"?>
<worksheet xmlns="http://schemas.openxmlformats.org/spreadsheetml/2006/main">
  <sheetPr>
    <tabColor rgb="004A9FD4"/>
    <outlinePr summaryBelow="1" summaryRight="1"/>
    <pageSetUpPr/>
  </sheetPr>
  <dimension ref="A1:N60"/>
  <sheetViews>
    <sheetView showGridLines="0" workbookViewId="0">
      <selection activeCell="A1" sqref="A1"/>
    </sheetView>
  </sheetViews>
  <sheetFormatPr baseColWidth="8" defaultRowHeight="15"/>
  <cols>
    <col width="28" customWidth="1" min="1" max="1"/>
    <col width="14" customWidth="1" min="2" max="2"/>
    <col width="12" customWidth="1" min="3" max="3"/>
    <col width="12" customWidth="1" min="4" max="4"/>
    <col width="12" customWidth="1" min="5" max="5"/>
    <col width="14" customWidth="1" min="6" max="6"/>
    <col width="14" customWidth="1" min="7" max="7"/>
    <col width="14" customWidth="1" min="8" max="8"/>
    <col width="14" customWidth="1" min="9" max="9"/>
    <col width="18" customWidth="1" min="10" max="10"/>
    <col width="14" customWidth="1" min="11" max="11"/>
    <col width="14" customWidth="1" min="12" max="12"/>
    <col width="14" customWidth="1" min="13" max="13"/>
    <col width="18" customWidth="1" min="14" max="14"/>
  </cols>
  <sheetData>
    <row r="1" ht="24" customHeight="1">
      <c r="A1" s="13" t="inlineStr">
        <is>
          <t>ZM — COMPARABLE COMPANIES ANALYSIS</t>
        </is>
      </c>
      <c r="K1" s="2" t="n"/>
      <c r="L1" s="2" t="n"/>
      <c r="M1" s="2" t="n"/>
      <c r="N1" s="2" t="n"/>
    </row>
    <row r="2">
      <c r="A2" s="2" t="n"/>
      <c r="B2" s="2" t="n"/>
      <c r="C2" s="2" t="n"/>
      <c r="D2" s="2" t="n"/>
      <c r="E2" s="2" t="n"/>
      <c r="F2" s="2" t="n"/>
      <c r="G2" s="2" t="n"/>
      <c r="H2" s="2" t="n"/>
      <c r="I2" s="2" t="n"/>
      <c r="J2" s="2" t="n"/>
      <c r="K2" s="2" t="n"/>
      <c r="L2" s="2" t="n"/>
      <c r="M2" s="2" t="n"/>
      <c r="N2" s="2" t="n"/>
    </row>
    <row r="3">
      <c r="A3" s="6" t="inlineStr">
        <is>
          <t>PEER TRADING MULTIPLES (NTM)</t>
        </is>
      </c>
      <c r="K3" s="2" t="n"/>
      <c r="L3" s="2" t="n"/>
      <c r="M3" s="2" t="n"/>
      <c r="N3" s="2" t="n"/>
    </row>
    <row r="4">
      <c r="A4" s="7" t="inlineStr">
        <is>
          <t>Company</t>
        </is>
      </c>
      <c r="B4" s="7" t="inlineStr">
        <is>
          <t>Ticker</t>
        </is>
      </c>
      <c r="C4" s="7" t="inlineStr">
        <is>
          <t>NTM EV/EBITDA</t>
        </is>
      </c>
      <c r="D4" s="7" t="inlineStr">
        <is>
          <t>NTM EV/EBIT</t>
        </is>
      </c>
      <c r="E4" s="7" t="inlineStr">
        <is>
          <t>NTM P/E</t>
        </is>
      </c>
      <c r="F4" s="7" t="inlineStr">
        <is>
          <t>NTM EV/Rev</t>
        </is>
      </c>
      <c r="G4" s="7" t="inlineStr">
        <is>
          <t>NTM FCF Yield%</t>
        </is>
      </c>
      <c r="H4" s="7" t="inlineStr">
        <is>
          <t>Growth NTM%</t>
        </is>
      </c>
      <c r="I4" s="7" t="inlineStr">
        <is>
          <t>EBITDA Margin%</t>
        </is>
      </c>
      <c r="J4" s="7" t="inlineStr">
        <is>
          <t>ROIC%</t>
        </is>
      </c>
      <c r="K4" s="7" t="inlineStr">
        <is>
          <t>Data Source</t>
        </is>
      </c>
      <c r="L4" s="2" t="n"/>
      <c r="M4" s="2" t="n"/>
      <c r="N4" s="2" t="n"/>
    </row>
    <row r="5">
      <c r="A5" s="10" t="inlineStr">
        <is>
          <t>RingCentral Inc</t>
        </is>
      </c>
      <c r="B5" s="11" t="inlineStr">
        <is>
          <t>RNG</t>
        </is>
      </c>
      <c r="C5" s="11" t="n">
        <v>6.29</v>
      </c>
      <c r="D5" s="11" t="inlineStr">
        <is>
          <t>DATA UNAVAILABLE</t>
        </is>
      </c>
      <c r="E5" s="11" t="n">
        <v>7.72</v>
      </c>
      <c r="F5" s="11" t="n">
        <v>1.72</v>
      </c>
      <c r="G5" s="11" t="inlineStr">
        <is>
          <t>DATA UNAVAILABLE</t>
        </is>
      </c>
      <c r="H5" s="11" t="n">
        <v>4.5</v>
      </c>
      <c r="I5" s="11" t="n">
        <v>27.3</v>
      </c>
      <c r="J5" s="11" t="inlineStr">
        <is>
          <t>DATA UNAVAILABLE — not in CapIQ</t>
        </is>
      </c>
      <c r="K5" s="11" t="inlineStr">
        <is>
          <t>CapIQ</t>
        </is>
      </c>
      <c r="L5" s="2" t="n"/>
      <c r="M5" s="2" t="n"/>
      <c r="N5" s="2" t="n"/>
    </row>
    <row r="6">
      <c r="A6" s="8" t="inlineStr">
        <is>
          <t>Twilio Inc</t>
        </is>
      </c>
      <c r="B6" s="9" t="inlineStr">
        <is>
          <t>TWLO</t>
        </is>
      </c>
      <c r="C6" s="9" t="n">
        <v>15.73</v>
      </c>
      <c r="D6" s="9" t="inlineStr">
        <is>
          <t>DATA UNAVAILABLE</t>
        </is>
      </c>
      <c r="E6" s="9" t="n">
        <v>23.91</v>
      </c>
      <c r="F6" s="9" t="n">
        <v>3.21</v>
      </c>
      <c r="G6" s="9" t="inlineStr">
        <is>
          <t>DATA UNAVAILABLE</t>
        </is>
      </c>
      <c r="H6" s="9" t="n">
        <v>12.1</v>
      </c>
      <c r="I6" s="9" t="n">
        <v>20.4</v>
      </c>
      <c r="J6" s="9" t="inlineStr">
        <is>
          <t>DATA UNAVAILABLE — not in CapIQ</t>
        </is>
      </c>
      <c r="K6" s="9" t="inlineStr">
        <is>
          <t>CapIQ</t>
        </is>
      </c>
      <c r="L6" s="2" t="n"/>
      <c r="M6" s="2" t="n"/>
      <c r="N6" s="2" t="n"/>
    </row>
    <row r="7">
      <c r="A7" s="10" t="inlineStr">
        <is>
          <t>Five9 Inc</t>
        </is>
      </c>
      <c r="B7" s="11" t="inlineStr">
        <is>
          <t>FIVN</t>
        </is>
      </c>
      <c r="C7" s="11" t="n">
        <v>4.05</v>
      </c>
      <c r="D7" s="11" t="inlineStr">
        <is>
          <t>DATA UNAVAILABLE</t>
        </is>
      </c>
      <c r="E7" s="11" t="n">
        <v>4.57</v>
      </c>
      <c r="F7" s="11" t="n">
        <v>0.98</v>
      </c>
      <c r="G7" s="11" t="inlineStr">
        <is>
          <t>DATA UNAVAILABLE</t>
        </is>
      </c>
      <c r="H7" s="11" t="n">
        <v>9.199999999999999</v>
      </c>
      <c r="I7" s="11" t="n">
        <v>24.1</v>
      </c>
      <c r="J7" s="11" t="inlineStr">
        <is>
          <t>DATA UNAVAILABLE — not in CapIQ</t>
        </is>
      </c>
      <c r="K7" s="11" t="inlineStr">
        <is>
          <t>CapIQ</t>
        </is>
      </c>
      <c r="L7" s="2" t="n"/>
      <c r="M7" s="2" t="n"/>
      <c r="N7" s="2" t="n"/>
    </row>
    <row r="8">
      <c r="A8" s="8" t="inlineStr">
        <is>
          <t>Bandwidth Inc</t>
        </is>
      </c>
      <c r="B8" s="9" t="inlineStr">
        <is>
          <t>BAND</t>
        </is>
      </c>
      <c r="C8" s="9" t="n">
        <v>7.83</v>
      </c>
      <c r="D8" s="9" t="inlineStr">
        <is>
          <t>DATA UNAVAILABLE</t>
        </is>
      </c>
      <c r="E8" s="9" t="n">
        <v>10.6</v>
      </c>
      <c r="F8" s="9" t="n">
        <v>1.07</v>
      </c>
      <c r="G8" s="9" t="inlineStr">
        <is>
          <t>DATA UNAVAILABLE</t>
        </is>
      </c>
      <c r="H8" s="9" t="n">
        <v>15.8</v>
      </c>
      <c r="I8" s="9" t="n">
        <v>13.7</v>
      </c>
      <c r="J8" s="9" t="inlineStr">
        <is>
          <t>DATA UNAVAILABLE — not in CapIQ</t>
        </is>
      </c>
      <c r="K8" s="9" t="inlineStr">
        <is>
          <t>CapIQ</t>
        </is>
      </c>
      <c r="L8" s="2" t="n"/>
      <c r="M8" s="2" t="n"/>
      <c r="N8" s="2" t="n"/>
    </row>
    <row r="9">
      <c r="A9" s="37" t="inlineStr">
        <is>
          <t>▶ ZM (SUBJECT)</t>
        </is>
      </c>
      <c r="B9" s="37" t="inlineStr">
        <is>
          <t>ZM</t>
        </is>
      </c>
      <c r="C9" s="38" t="n">
        <v>7.68</v>
      </c>
      <c r="D9" s="38" t="inlineStr">
        <is>
          <t>DATA UNAVAILABLE — NTM EBIT consensus not in CapIQ/LSEG blocks</t>
        </is>
      </c>
      <c r="E9" s="38" t="n">
        <v>14.17</v>
      </c>
      <c r="F9" s="38" t="n">
        <v>3.31</v>
      </c>
      <c r="G9" s="38" t="n">
        <v>8.02</v>
      </c>
      <c r="H9" s="38" t="inlineStr">
        <is>
          <t>—</t>
        </is>
      </c>
      <c r="I9" s="38" t="inlineStr">
        <is>
          <t>—</t>
        </is>
      </c>
      <c r="J9" s="38" t="inlineStr">
        <is>
          <t>—</t>
        </is>
      </c>
      <c r="K9" s="38" t="inlineStr">
        <is>
          <t>LSEG</t>
        </is>
      </c>
      <c r="L9" s="2" t="n"/>
      <c r="M9" s="2" t="n"/>
      <c r="N9" s="2" t="n"/>
    </row>
    <row r="10">
      <c r="A10" s="2" t="n"/>
      <c r="B10" s="2" t="n"/>
      <c r="C10" s="2" t="n"/>
      <c r="D10" s="2" t="n"/>
      <c r="E10" s="2" t="n"/>
      <c r="F10" s="2" t="n"/>
      <c r="G10" s="2" t="n"/>
      <c r="H10" s="2" t="n"/>
      <c r="I10" s="2" t="n"/>
      <c r="J10" s="2" t="n"/>
      <c r="K10" s="2" t="n"/>
      <c r="L10" s="2" t="n"/>
      <c r="M10" s="2" t="n"/>
      <c r="N10" s="2" t="n"/>
    </row>
    <row r="11">
      <c r="A11" s="6" t="inlineStr">
        <is>
          <t>PEER GROUP STATISTICS</t>
        </is>
      </c>
      <c r="G11" s="2" t="n"/>
      <c r="H11" s="2" t="n"/>
      <c r="I11" s="2" t="n"/>
      <c r="J11" s="2" t="n"/>
      <c r="K11" s="2" t="n"/>
      <c r="L11" s="2" t="n"/>
      <c r="M11" s="2" t="n"/>
      <c r="N11" s="2" t="n"/>
    </row>
    <row r="12">
      <c r="A12" s="3" t="inlineStr">
        <is>
          <t>Median NTM EV/EBITDA</t>
        </is>
      </c>
      <c r="B12" s="5" t="n">
        <v>7.06</v>
      </c>
      <c r="C12" s="3" t="inlineStr">
        <is>
          <t>Mean NTM EV/EBITDA</t>
        </is>
      </c>
      <c r="D12" s="5" t="n">
        <v>8.48</v>
      </c>
      <c r="E12" s="2" t="n"/>
      <c r="F12" s="2" t="n"/>
      <c r="G12" s="2" t="n"/>
      <c r="H12" s="2" t="n"/>
      <c r="I12" s="2" t="n"/>
      <c r="J12" s="2" t="n"/>
      <c r="K12" s="2" t="n"/>
      <c r="L12" s="2" t="n"/>
      <c r="M12" s="2" t="n"/>
      <c r="N12" s="2" t="n"/>
    </row>
    <row r="13">
      <c r="A13" s="3" t="inlineStr">
        <is>
          <t>25th Pct NTM EV/EBITDA</t>
        </is>
      </c>
      <c r="B13" s="5" t="n">
        <v>5.17</v>
      </c>
      <c r="C13" s="3" t="inlineStr">
        <is>
          <t>75th Pct NTM EV/EBITDA</t>
        </is>
      </c>
      <c r="D13" s="5" t="n">
        <v>11.78</v>
      </c>
      <c r="E13" s="2" t="n"/>
      <c r="F13" s="2" t="n"/>
      <c r="G13" s="2" t="n"/>
      <c r="H13" s="2" t="n"/>
      <c r="I13" s="2" t="n"/>
      <c r="J13" s="2" t="n"/>
      <c r="K13" s="2" t="n"/>
      <c r="L13" s="2" t="n"/>
      <c r="M13" s="2" t="n"/>
      <c r="N13" s="2" t="n"/>
    </row>
    <row r="14">
      <c r="A14" s="3" t="inlineStr">
        <is>
          <t>Median NTM P/E</t>
        </is>
      </c>
      <c r="B14" s="5" t="n">
        <v>9.16</v>
      </c>
      <c r="C14" s="3" t="inlineStr">
        <is>
          <t>Median NTM FCF Yield%</t>
        </is>
      </c>
      <c r="D14" s="5" t="inlineStr">
        <is>
          <t>DATA UNAVAILABLE — no NTM FCF data for peers in CapIQ block</t>
        </is>
      </c>
      <c r="E14" s="2" t="n"/>
      <c r="F14" s="2" t="n"/>
      <c r="G14" s="2" t="n"/>
      <c r="H14" s="2" t="n"/>
      <c r="I14" s="2" t="n"/>
      <c r="J14" s="2" t="n"/>
      <c r="K14" s="2" t="n"/>
      <c r="L14" s="2" t="n"/>
      <c r="M14" s="2" t="n"/>
      <c r="N14" s="2" t="n"/>
    </row>
    <row r="15">
      <c r="A15" s="2" t="n"/>
      <c r="B15" s="2" t="n"/>
      <c r="C15" s="2" t="n"/>
      <c r="D15" s="2" t="n"/>
      <c r="E15" s="2" t="n"/>
      <c r="F15" s="2" t="n"/>
      <c r="G15" s="2" t="n"/>
      <c r="H15" s="2" t="n"/>
      <c r="I15" s="2" t="n"/>
      <c r="J15" s="2" t="n"/>
      <c r="K15" s="2" t="n"/>
      <c r="L15" s="2" t="n"/>
      <c r="M15" s="2" t="n"/>
      <c r="N15" s="2" t="n"/>
    </row>
    <row r="16">
      <c r="A16" s="6" t="inlineStr">
        <is>
          <t>IMPLIED VALUATION FROM COMPS</t>
        </is>
      </c>
      <c r="G16" s="2" t="n"/>
      <c r="H16" s="2" t="n"/>
      <c r="I16" s="2" t="n"/>
      <c r="J16" s="2" t="n"/>
      <c r="K16" s="2" t="n"/>
      <c r="L16" s="2" t="n"/>
      <c r="M16" s="2" t="n"/>
      <c r="N16" s="2" t="n"/>
    </row>
    <row r="17">
      <c r="A17" s="7" t="inlineStr">
        <is>
          <t>Methodology</t>
        </is>
      </c>
      <c r="B17" s="7" t="inlineStr">
        <is>
          <t>Multiple Applied</t>
        </is>
      </c>
      <c r="C17" s="7" t="inlineStr">
        <is>
          <t>NTM Metric</t>
        </is>
      </c>
      <c r="D17" s="7" t="inlineStr">
        <is>
          <t>Implied Price</t>
        </is>
      </c>
      <c r="E17" s="2" t="n"/>
      <c r="F17" s="2" t="n"/>
      <c r="G17" s="2" t="n"/>
      <c r="H17" s="2" t="n"/>
      <c r="I17" s="2" t="n"/>
      <c r="J17" s="2" t="n"/>
      <c r="K17" s="2" t="n"/>
      <c r="L17" s="2" t="n"/>
      <c r="M17" s="2" t="n"/>
      <c r="N17" s="2" t="n"/>
    </row>
    <row r="18">
      <c r="A18" s="10" t="inlineStr">
        <is>
          <t>Median EV/EBITDA</t>
        </is>
      </c>
      <c r="B18" s="11" t="n">
        <v>7.06</v>
      </c>
      <c r="C18" s="11" t="inlineStr">
        <is>
          <t>EBITDA $2,183mm</t>
        </is>
      </c>
      <c r="D18" s="11" t="inlineStr">
        <is>
          <t>$78.60</t>
        </is>
      </c>
      <c r="E18" s="2" t="n"/>
      <c r="F18" s="2" t="n"/>
      <c r="G18" s="2" t="n"/>
      <c r="H18" s="2" t="n"/>
      <c r="I18" s="2" t="n"/>
      <c r="J18" s="2" t="n"/>
      <c r="K18" s="2" t="n"/>
      <c r="L18" s="2" t="n"/>
      <c r="M18" s="2" t="n"/>
      <c r="N18" s="2" t="n"/>
    </row>
    <row r="19">
      <c r="A19" s="8" t="inlineStr">
        <is>
          <t>Median P/E</t>
        </is>
      </c>
      <c r="B19" s="9" t="n">
        <v>9.16</v>
      </c>
      <c r="C19" s="9" t="inlineStr">
        <is>
          <t>NTM EPS $5.87</t>
        </is>
      </c>
      <c r="D19" s="9" t="inlineStr">
        <is>
          <t>$53.77</t>
        </is>
      </c>
      <c r="E19" s="2" t="n"/>
      <c r="F19" s="2" t="n"/>
      <c r="G19" s="2" t="n"/>
      <c r="H19" s="2" t="n"/>
      <c r="I19" s="2" t="n"/>
      <c r="J19" s="2" t="n"/>
      <c r="K19" s="2" t="n"/>
      <c r="L19" s="2" t="n"/>
      <c r="M19" s="2" t="n"/>
      <c r="N19" s="2" t="n"/>
    </row>
    <row r="20">
      <c r="A20" s="10" t="inlineStr">
        <is>
          <t>Median FCF Yield</t>
        </is>
      </c>
      <c r="B20" s="11" t="inlineStr">
        <is>
          <t>DATA UNAVAILABLE%</t>
        </is>
      </c>
      <c r="C20" s="11" t="inlineStr">
        <is>
          <t>N/A</t>
        </is>
      </c>
      <c r="D20" s="11" t="inlineStr">
        <is>
          <t>DATA UNAVAILABLE</t>
        </is>
      </c>
      <c r="E20" s="2" t="n"/>
      <c r="F20" s="2" t="n"/>
      <c r="G20" s="2" t="n"/>
      <c r="H20" s="2" t="n"/>
      <c r="I20" s="2" t="n"/>
      <c r="J20" s="2" t="n"/>
      <c r="K20" s="2" t="n"/>
      <c r="L20" s="2" t="n"/>
      <c r="M20" s="2" t="n"/>
      <c r="N20" s="2" t="n"/>
    </row>
    <row r="21">
      <c r="A21" s="39" t="inlineStr">
        <is>
          <t>BLENDED IMPLIED PRICE</t>
        </is>
      </c>
      <c r="B21" s="40" t="inlineStr"/>
      <c r="C21" s="40" t="inlineStr">
        <is>
          <t>Current: $83.23</t>
        </is>
      </c>
      <c r="D21" s="40" t="inlineStr">
        <is>
          <t>$74.93  (-14.5%)</t>
        </is>
      </c>
      <c r="E21" s="2" t="n"/>
      <c r="F21" s="2" t="n"/>
      <c r="G21" s="2" t="n"/>
      <c r="H21" s="2" t="n"/>
      <c r="I21" s="2" t="n"/>
      <c r="J21" s="2" t="n"/>
      <c r="K21" s="2" t="n"/>
      <c r="L21" s="2" t="n"/>
      <c r="M21" s="2" t="n"/>
      <c r="N21" s="2" t="n"/>
    </row>
    <row r="22">
      <c r="A22" s="2" t="n"/>
      <c r="B22" s="2" t="n"/>
      <c r="C22" s="2" t="n"/>
      <c r="D22" s="2" t="n"/>
      <c r="E22" s="2" t="n"/>
      <c r="F22" s="2" t="n"/>
      <c r="G22" s="2" t="n"/>
      <c r="H22" s="2" t="n"/>
      <c r="I22" s="2" t="n"/>
      <c r="J22" s="2" t="n"/>
      <c r="K22" s="2" t="n"/>
      <c r="L22" s="2" t="n"/>
      <c r="M22" s="2" t="n"/>
      <c r="N22" s="2" t="n"/>
    </row>
    <row r="23">
      <c r="A23" s="6" t="inlineStr">
        <is>
          <t>TRADING HISTORY</t>
        </is>
      </c>
      <c r="G23" s="2" t="n"/>
      <c r="H23" s="2" t="n"/>
      <c r="I23" s="2" t="n"/>
      <c r="J23" s="2" t="n"/>
      <c r="K23" s="2" t="n"/>
      <c r="L23" s="2" t="n"/>
      <c r="M23" s="2" t="n"/>
      <c r="N23" s="2" t="n"/>
    </row>
    <row r="24">
      <c r="A24" s="3" t="inlineStr">
        <is>
          <t>52-Week High</t>
        </is>
      </c>
      <c r="B24" s="5" t="inlineStr">
        <is>
          <t>$97.52</t>
        </is>
      </c>
      <c r="C24" s="3" t="inlineStr">
        <is>
          <t>52-Week Low</t>
        </is>
      </c>
      <c r="D24" s="5" t="inlineStr">
        <is>
          <t>$65.62</t>
        </is>
      </c>
      <c r="E24" s="2" t="n"/>
      <c r="F24" s="2" t="n"/>
      <c r="G24" s="2" t="n"/>
      <c r="H24" s="2" t="n"/>
      <c r="I24" s="2" t="n"/>
      <c r="J24" s="2" t="n"/>
      <c r="K24" s="2" t="n"/>
      <c r="L24" s="2" t="n"/>
      <c r="M24" s="2" t="n"/>
      <c r="N24" s="2" t="n"/>
    </row>
    <row r="25">
      <c r="A25" s="3" t="inlineStr">
        <is>
          <t>vs 52W High</t>
        </is>
      </c>
      <c r="B25" s="5" t="inlineStr">
        <is>
          <t>-14.7%</t>
        </is>
      </c>
      <c r="C25" s="3" t="inlineStr">
        <is>
          <t>3-Year Range Position</t>
        </is>
      </c>
      <c r="D25" s="5" t="inlineStr">
        <is>
          <t>upper_half</t>
        </is>
      </c>
      <c r="E25" s="2" t="n"/>
      <c r="F25" s="2" t="n"/>
      <c r="G25" s="2" t="n"/>
      <c r="H25" s="2" t="n"/>
      <c r="I25" s="2" t="n"/>
      <c r="J25" s="2" t="n"/>
      <c r="K25" s="2" t="n"/>
      <c r="L25" s="2" t="n"/>
      <c r="M25" s="2" t="n"/>
      <c r="N25" s="2" t="n"/>
    </row>
    <row r="26">
      <c r="A26" s="2" t="n"/>
      <c r="B26" s="2" t="n"/>
      <c r="C26" s="2" t="n"/>
      <c r="D26" s="2" t="n"/>
      <c r="E26" s="2" t="n"/>
      <c r="F26" s="2" t="n"/>
      <c r="G26" s="2" t="n"/>
      <c r="H26" s="2" t="n"/>
      <c r="I26" s="2" t="n"/>
      <c r="J26" s="2" t="n"/>
      <c r="K26" s="2" t="n"/>
      <c r="L26" s="2" t="n"/>
      <c r="M26" s="2" t="n"/>
      <c r="N26" s="2" t="n"/>
    </row>
    <row r="27">
      <c r="A27" s="2" t="n"/>
      <c r="B27" s="2" t="n"/>
      <c r="C27" s="2" t="n"/>
      <c r="D27" s="2" t="n"/>
      <c r="E27" s="2" t="n"/>
      <c r="F27" s="2" t="n"/>
      <c r="G27" s="2" t="n"/>
      <c r="H27" s="2" t="n"/>
      <c r="I27" s="2" t="n"/>
      <c r="J27" s="2" t="n"/>
      <c r="K27" s="2" t="n"/>
      <c r="L27" s="2" t="n"/>
      <c r="M27" s="2" t="n"/>
      <c r="N27" s="2" t="n"/>
    </row>
    <row r="28">
      <c r="A28" s="2" t="n"/>
      <c r="B28" s="2" t="n"/>
      <c r="C28" s="2" t="n"/>
      <c r="D28" s="2" t="n"/>
      <c r="E28" s="2" t="n"/>
      <c r="F28" s="2" t="n"/>
      <c r="G28" s="2" t="n"/>
      <c r="H28" s="2" t="n"/>
      <c r="I28" s="2" t="n"/>
      <c r="J28" s="2" t="n"/>
      <c r="K28" s="2" t="n"/>
      <c r="L28" s="2" t="n"/>
      <c r="M28" s="2" t="n"/>
      <c r="N28" s="2" t="n"/>
    </row>
    <row r="29">
      <c r="A29" s="2" t="n"/>
      <c r="B29" s="2" t="n"/>
      <c r="C29" s="2" t="n"/>
      <c r="D29" s="2" t="n"/>
      <c r="E29" s="2" t="n"/>
      <c r="F29" s="2" t="n"/>
      <c r="G29" s="2" t="n"/>
      <c r="H29" s="2" t="n"/>
      <c r="I29" s="2" t="n"/>
      <c r="J29" s="2" t="n"/>
      <c r="K29" s="2" t="n"/>
      <c r="L29" s="2" t="n"/>
      <c r="M29" s="2" t="n"/>
      <c r="N29" s="2" t="n"/>
    </row>
    <row r="30">
      <c r="A30" s="2" t="n"/>
      <c r="B30" s="2" t="n"/>
      <c r="C30" s="2" t="n"/>
      <c r="D30" s="2" t="n"/>
      <c r="E30" s="2" t="n"/>
      <c r="F30" s="2" t="n"/>
      <c r="G30" s="2" t="n"/>
      <c r="H30" s="2" t="n"/>
      <c r="I30" s="2" t="n"/>
      <c r="J30" s="2" t="n"/>
      <c r="K30" s="2" t="n"/>
      <c r="L30" s="2" t="n"/>
      <c r="M30" s="2" t="n"/>
      <c r="N30" s="2" t="n"/>
    </row>
    <row r="31">
      <c r="A31" s="2" t="n"/>
      <c r="B31" s="2" t="n"/>
      <c r="C31" s="2" t="n"/>
      <c r="D31" s="2" t="n"/>
      <c r="E31" s="2" t="n"/>
      <c r="F31" s="2" t="n"/>
      <c r="G31" s="2" t="n"/>
      <c r="H31" s="2" t="n"/>
      <c r="I31" s="2" t="n"/>
      <c r="J31" s="2" t="n"/>
      <c r="K31" s="2" t="n"/>
      <c r="L31" s="2" t="n"/>
      <c r="M31" s="2" t="n"/>
      <c r="N31" s="2" t="n"/>
    </row>
    <row r="32">
      <c r="A32" s="2" t="n"/>
      <c r="B32" s="2" t="n"/>
      <c r="C32" s="2" t="n"/>
      <c r="D32" s="2" t="n"/>
      <c r="E32" s="2" t="n"/>
      <c r="F32" s="2" t="n"/>
      <c r="G32" s="2" t="n"/>
      <c r="H32" s="2" t="n"/>
      <c r="I32" s="2" t="n"/>
      <c r="J32" s="2" t="n"/>
      <c r="K32" s="2" t="n"/>
      <c r="L32" s="2" t="n"/>
      <c r="M32" s="2" t="n"/>
      <c r="N32" s="2" t="n"/>
    </row>
    <row r="33">
      <c r="A33" s="2" t="n"/>
      <c r="B33" s="2" t="n"/>
      <c r="C33" s="2" t="n"/>
      <c r="D33" s="2" t="n"/>
      <c r="E33" s="2" t="n"/>
      <c r="F33" s="2" t="n"/>
      <c r="G33" s="2" t="n"/>
      <c r="H33" s="2" t="n"/>
      <c r="I33" s="2" t="n"/>
      <c r="J33" s="2" t="n"/>
      <c r="K33" s="2" t="n"/>
      <c r="L33" s="2" t="n"/>
      <c r="M33" s="2" t="n"/>
      <c r="N33" s="2" t="n"/>
    </row>
    <row r="34">
      <c r="A34" s="2" t="n"/>
      <c r="B34" s="2" t="n"/>
      <c r="C34" s="2" t="n"/>
      <c r="D34" s="2" t="n"/>
      <c r="E34" s="2" t="n"/>
      <c r="F34" s="2" t="n"/>
      <c r="G34" s="2" t="n"/>
      <c r="H34" s="2" t="n"/>
      <c r="I34" s="2" t="n"/>
      <c r="J34" s="2" t="n"/>
      <c r="K34" s="2" t="n"/>
      <c r="L34" s="2" t="n"/>
      <c r="M34" s="2" t="n"/>
      <c r="N34" s="2" t="n"/>
    </row>
    <row r="35">
      <c r="A35" s="2" t="n"/>
      <c r="B35" s="2" t="n"/>
      <c r="C35" s="2" t="n"/>
      <c r="D35" s="2" t="n"/>
      <c r="E35" s="2" t="n"/>
      <c r="F35" s="2" t="n"/>
      <c r="G35" s="2" t="n"/>
      <c r="H35" s="2" t="n"/>
      <c r="I35" s="2" t="n"/>
      <c r="J35" s="2" t="n"/>
      <c r="K35" s="2" t="n"/>
      <c r="L35" s="2" t="n"/>
      <c r="M35" s="2" t="n"/>
      <c r="N35" s="2" t="n"/>
    </row>
    <row r="36">
      <c r="A36" s="2" t="n"/>
      <c r="B36" s="2" t="n"/>
      <c r="C36" s="2" t="n"/>
      <c r="D36" s="2" t="n"/>
      <c r="E36" s="2" t="n"/>
      <c r="F36" s="2" t="n"/>
      <c r="G36" s="2" t="n"/>
      <c r="H36" s="2" t="n"/>
      <c r="I36" s="2" t="n"/>
      <c r="J36" s="2" t="n"/>
      <c r="K36" s="2" t="n"/>
      <c r="L36" s="2" t="n"/>
      <c r="M36" s="2" t="n"/>
      <c r="N36" s="2" t="n"/>
    </row>
    <row r="37">
      <c r="A37" s="2" t="n"/>
      <c r="B37" s="2" t="n"/>
      <c r="C37" s="2" t="n"/>
      <c r="D37" s="2" t="n"/>
      <c r="E37" s="2" t="n"/>
      <c r="F37" s="2" t="n"/>
      <c r="G37" s="2" t="n"/>
      <c r="H37" s="2" t="n"/>
      <c r="I37" s="2" t="n"/>
      <c r="J37" s="2" t="n"/>
      <c r="K37" s="2" t="n"/>
      <c r="L37" s="2" t="n"/>
      <c r="M37" s="2" t="n"/>
      <c r="N37" s="2" t="n"/>
    </row>
    <row r="38">
      <c r="A38" s="2" t="n"/>
      <c r="B38" s="2" t="n"/>
      <c r="C38" s="2" t="n"/>
      <c r="D38" s="2" t="n"/>
      <c r="E38" s="2" t="n"/>
      <c r="F38" s="2" t="n"/>
      <c r="G38" s="2" t="n"/>
      <c r="H38" s="2" t="n"/>
      <c r="I38" s="2" t="n"/>
      <c r="J38" s="2" t="n"/>
      <c r="K38" s="2" t="n"/>
      <c r="L38" s="2" t="n"/>
      <c r="M38" s="2" t="n"/>
      <c r="N38" s="2" t="n"/>
    </row>
    <row r="39">
      <c r="A39" s="2" t="n"/>
      <c r="B39" s="2" t="n"/>
      <c r="C39" s="2" t="n"/>
      <c r="D39" s="2" t="n"/>
      <c r="E39" s="2" t="n"/>
      <c r="F39" s="2" t="n"/>
      <c r="G39" s="2" t="n"/>
      <c r="H39" s="2" t="n"/>
      <c r="I39" s="2" t="n"/>
      <c r="J39" s="2" t="n"/>
      <c r="K39" s="2" t="n"/>
      <c r="L39" s="2" t="n"/>
      <c r="M39" s="2" t="n"/>
      <c r="N39" s="2" t="n"/>
    </row>
    <row r="40">
      <c r="A40" s="2" t="n"/>
      <c r="B40" s="2" t="n"/>
      <c r="C40" s="2" t="n"/>
      <c r="D40" s="2" t="n"/>
      <c r="E40" s="2" t="n"/>
      <c r="F40" s="2" t="n"/>
      <c r="G40" s="2" t="n"/>
      <c r="H40" s="2" t="n"/>
      <c r="I40" s="2" t="n"/>
      <c r="J40" s="2" t="n"/>
      <c r="K40" s="2" t="n"/>
      <c r="L40" s="2" t="n"/>
      <c r="M40" s="2" t="n"/>
      <c r="N40" s="2" t="n"/>
    </row>
    <row r="41">
      <c r="A41" s="2" t="n"/>
      <c r="B41" s="2" t="n"/>
      <c r="C41" s="2" t="n"/>
      <c r="D41" s="2" t="n"/>
      <c r="E41" s="2" t="n"/>
      <c r="F41" s="2" t="n"/>
      <c r="G41" s="2" t="n"/>
      <c r="H41" s="2" t="n"/>
      <c r="I41" s="2" t="n"/>
      <c r="J41" s="2" t="n"/>
      <c r="K41" s="2" t="n"/>
      <c r="L41" s="2" t="n"/>
      <c r="M41" s="2" t="n"/>
      <c r="N41" s="2" t="n"/>
    </row>
    <row r="42">
      <c r="A42" s="2" t="n"/>
      <c r="B42" s="2" t="n"/>
      <c r="C42" s="2" t="n"/>
      <c r="D42" s="2" t="n"/>
      <c r="E42" s="2" t="n"/>
      <c r="F42" s="2" t="n"/>
      <c r="G42" s="2" t="n"/>
      <c r="H42" s="2" t="n"/>
      <c r="I42" s="2" t="n"/>
      <c r="J42" s="2" t="n"/>
      <c r="K42" s="2" t="n"/>
      <c r="L42" s="2" t="n"/>
      <c r="M42" s="2" t="n"/>
      <c r="N42" s="2" t="n"/>
    </row>
    <row r="43">
      <c r="A43" s="2" t="n"/>
      <c r="B43" s="2" t="n"/>
      <c r="C43" s="2" t="n"/>
      <c r="D43" s="2" t="n"/>
      <c r="E43" s="2" t="n"/>
      <c r="F43" s="2" t="n"/>
      <c r="G43" s="2" t="n"/>
      <c r="H43" s="2" t="n"/>
      <c r="I43" s="2" t="n"/>
      <c r="J43" s="2" t="n"/>
      <c r="K43" s="2" t="n"/>
      <c r="L43" s="2" t="n"/>
      <c r="M43" s="2" t="n"/>
      <c r="N43" s="2" t="n"/>
    </row>
    <row r="44">
      <c r="A44" s="2" t="n"/>
      <c r="B44" s="2" t="n"/>
      <c r="C44" s="2" t="n"/>
      <c r="D44" s="2" t="n"/>
      <c r="E44" s="2" t="n"/>
      <c r="F44" s="2" t="n"/>
      <c r="G44" s="2" t="n"/>
      <c r="H44" s="2" t="n"/>
      <c r="I44" s="2" t="n"/>
      <c r="J44" s="2" t="n"/>
      <c r="K44" s="2" t="n"/>
      <c r="L44" s="2" t="n"/>
      <c r="M44" s="2" t="n"/>
      <c r="N44" s="2" t="n"/>
    </row>
    <row r="45">
      <c r="A45" s="2" t="n"/>
      <c r="B45" s="2" t="n"/>
      <c r="C45" s="2" t="n"/>
      <c r="D45" s="2" t="n"/>
      <c r="E45" s="2" t="n"/>
      <c r="F45" s="2" t="n"/>
      <c r="G45" s="2" t="n"/>
      <c r="H45" s="2" t="n"/>
      <c r="I45" s="2" t="n"/>
      <c r="J45" s="2" t="n"/>
      <c r="K45" s="2" t="n"/>
      <c r="L45" s="2" t="n"/>
      <c r="M45" s="2" t="n"/>
      <c r="N45" s="2" t="n"/>
    </row>
    <row r="46">
      <c r="A46" s="2" t="n"/>
      <c r="B46" s="2" t="n"/>
      <c r="C46" s="2" t="n"/>
      <c r="D46" s="2" t="n"/>
      <c r="E46" s="2" t="n"/>
      <c r="F46" s="2" t="n"/>
      <c r="G46" s="2" t="n"/>
      <c r="H46" s="2" t="n"/>
      <c r="I46" s="2" t="n"/>
      <c r="J46" s="2" t="n"/>
      <c r="K46" s="2" t="n"/>
      <c r="L46" s="2" t="n"/>
      <c r="M46" s="2" t="n"/>
      <c r="N46" s="2" t="n"/>
    </row>
    <row r="47">
      <c r="A47" s="2" t="n"/>
      <c r="B47" s="2" t="n"/>
      <c r="C47" s="2" t="n"/>
      <c r="D47" s="2" t="n"/>
      <c r="E47" s="2" t="n"/>
      <c r="F47" s="2" t="n"/>
      <c r="G47" s="2" t="n"/>
      <c r="H47" s="2" t="n"/>
      <c r="I47" s="2" t="n"/>
      <c r="J47" s="2" t="n"/>
      <c r="K47" s="2" t="n"/>
      <c r="L47" s="2" t="n"/>
      <c r="M47" s="2" t="n"/>
      <c r="N47" s="2" t="n"/>
    </row>
    <row r="48">
      <c r="A48" s="2" t="n"/>
      <c r="B48" s="2" t="n"/>
      <c r="C48" s="2" t="n"/>
      <c r="D48" s="2" t="n"/>
      <c r="E48" s="2" t="n"/>
      <c r="F48" s="2" t="n"/>
      <c r="G48" s="2" t="n"/>
      <c r="H48" s="2" t="n"/>
      <c r="I48" s="2" t="n"/>
      <c r="J48" s="2" t="n"/>
      <c r="K48" s="2" t="n"/>
      <c r="L48" s="2" t="n"/>
      <c r="M48" s="2" t="n"/>
      <c r="N48" s="2" t="n"/>
    </row>
    <row r="49">
      <c r="A49" s="2" t="n"/>
      <c r="B49" s="2" t="n"/>
      <c r="C49" s="2" t="n"/>
      <c r="D49" s="2" t="n"/>
      <c r="E49" s="2" t="n"/>
      <c r="F49" s="2" t="n"/>
      <c r="G49" s="2" t="n"/>
      <c r="H49" s="2" t="n"/>
      <c r="I49" s="2" t="n"/>
      <c r="J49" s="2" t="n"/>
      <c r="K49" s="2" t="n"/>
      <c r="L49" s="2" t="n"/>
      <c r="M49" s="2" t="n"/>
      <c r="N49" s="2" t="n"/>
    </row>
    <row r="50">
      <c r="A50" s="2" t="n"/>
      <c r="B50" s="2" t="n"/>
      <c r="C50" s="2" t="n"/>
      <c r="D50" s="2" t="n"/>
      <c r="E50" s="2" t="n"/>
      <c r="F50" s="2" t="n"/>
      <c r="G50" s="2" t="n"/>
      <c r="H50" s="2" t="n"/>
      <c r="I50" s="2" t="n"/>
      <c r="J50" s="2" t="n"/>
      <c r="K50" s="2" t="n"/>
      <c r="L50" s="2" t="n"/>
      <c r="M50" s="2" t="n"/>
      <c r="N50" s="2" t="n"/>
    </row>
    <row r="51">
      <c r="A51" s="2" t="n"/>
      <c r="B51" s="2" t="n"/>
      <c r="C51" s="2" t="n"/>
      <c r="D51" s="2" t="n"/>
      <c r="E51" s="2" t="n"/>
      <c r="F51" s="2" t="n"/>
      <c r="G51" s="2" t="n"/>
      <c r="H51" s="2" t="n"/>
      <c r="I51" s="2" t="n"/>
      <c r="J51" s="2" t="n"/>
      <c r="K51" s="2" t="n"/>
      <c r="L51" s="2" t="n"/>
      <c r="M51" s="2" t="n"/>
      <c r="N51" s="2" t="n"/>
    </row>
    <row r="52">
      <c r="A52" s="2" t="n"/>
      <c r="B52" s="2" t="n"/>
      <c r="C52" s="2" t="n"/>
      <c r="D52" s="2" t="n"/>
      <c r="E52" s="2" t="n"/>
      <c r="F52" s="2" t="n"/>
      <c r="G52" s="2" t="n"/>
      <c r="H52" s="2" t="n"/>
      <c r="I52" s="2" t="n"/>
      <c r="J52" s="2" t="n"/>
      <c r="K52" s="2" t="n"/>
      <c r="L52" s="2" t="n"/>
      <c r="M52" s="2" t="n"/>
      <c r="N52" s="2" t="n"/>
    </row>
    <row r="53">
      <c r="A53" s="2" t="n"/>
      <c r="B53" s="2" t="n"/>
      <c r="C53" s="2" t="n"/>
      <c r="D53" s="2" t="n"/>
      <c r="E53" s="2" t="n"/>
      <c r="F53" s="2" t="n"/>
      <c r="G53" s="2" t="n"/>
      <c r="H53" s="2" t="n"/>
      <c r="I53" s="2" t="n"/>
      <c r="J53" s="2" t="n"/>
      <c r="K53" s="2" t="n"/>
      <c r="L53" s="2" t="n"/>
      <c r="M53" s="2" t="n"/>
      <c r="N53" s="2" t="n"/>
    </row>
    <row r="54">
      <c r="A54" s="2" t="n"/>
      <c r="B54" s="2" t="n"/>
      <c r="C54" s="2" t="n"/>
      <c r="D54" s="2" t="n"/>
      <c r="E54" s="2" t="n"/>
      <c r="F54" s="2" t="n"/>
      <c r="G54" s="2" t="n"/>
      <c r="H54" s="2" t="n"/>
      <c r="I54" s="2" t="n"/>
      <c r="J54" s="2" t="n"/>
      <c r="K54" s="2" t="n"/>
      <c r="L54" s="2" t="n"/>
      <c r="M54" s="2" t="n"/>
      <c r="N54" s="2" t="n"/>
    </row>
    <row r="55">
      <c r="A55" s="2" t="n"/>
      <c r="B55" s="2" t="n"/>
      <c r="C55" s="2" t="n"/>
      <c r="D55" s="2" t="n"/>
      <c r="E55" s="2" t="n"/>
      <c r="F55" s="2" t="n"/>
      <c r="G55" s="2" t="n"/>
      <c r="H55" s="2" t="n"/>
      <c r="I55" s="2" t="n"/>
      <c r="J55" s="2" t="n"/>
      <c r="K55" s="2" t="n"/>
      <c r="L55" s="2" t="n"/>
      <c r="M55" s="2" t="n"/>
      <c r="N55" s="2" t="n"/>
    </row>
    <row r="56">
      <c r="A56" s="2" t="n"/>
      <c r="B56" s="2" t="n"/>
      <c r="C56" s="2" t="n"/>
      <c r="D56" s="2" t="n"/>
      <c r="E56" s="2" t="n"/>
      <c r="F56" s="2" t="n"/>
      <c r="G56" s="2" t="n"/>
      <c r="H56" s="2" t="n"/>
      <c r="I56" s="2" t="n"/>
      <c r="J56" s="2" t="n"/>
      <c r="K56" s="2" t="n"/>
      <c r="L56" s="2" t="n"/>
      <c r="M56" s="2" t="n"/>
      <c r="N56" s="2" t="n"/>
    </row>
    <row r="57">
      <c r="A57" s="2" t="n"/>
      <c r="B57" s="2" t="n"/>
      <c r="C57" s="2" t="n"/>
      <c r="D57" s="2" t="n"/>
      <c r="E57" s="2" t="n"/>
      <c r="F57" s="2" t="n"/>
      <c r="G57" s="2" t="n"/>
      <c r="H57" s="2" t="n"/>
      <c r="I57" s="2" t="n"/>
      <c r="J57" s="2" t="n"/>
      <c r="K57" s="2" t="n"/>
      <c r="L57" s="2" t="n"/>
      <c r="M57" s="2" t="n"/>
      <c r="N57" s="2" t="n"/>
    </row>
    <row r="58">
      <c r="A58" s="2" t="n"/>
      <c r="B58" s="2" t="n"/>
      <c r="C58" s="2" t="n"/>
      <c r="D58" s="2" t="n"/>
      <c r="E58" s="2" t="n"/>
      <c r="F58" s="2" t="n"/>
      <c r="G58" s="2" t="n"/>
      <c r="H58" s="2" t="n"/>
      <c r="I58" s="2" t="n"/>
      <c r="J58" s="2" t="n"/>
      <c r="K58" s="2" t="n"/>
      <c r="L58" s="2" t="n"/>
      <c r="M58" s="2" t="n"/>
      <c r="N58" s="2" t="n"/>
    </row>
    <row r="59">
      <c r="A59" s="2" t="n"/>
      <c r="B59" s="2" t="n"/>
      <c r="C59" s="2" t="n"/>
      <c r="D59" s="2" t="n"/>
      <c r="E59" s="2" t="n"/>
      <c r="F59" s="2" t="n"/>
      <c r="G59" s="2" t="n"/>
      <c r="H59" s="2" t="n"/>
      <c r="I59" s="2" t="n"/>
      <c r="J59" s="2" t="n"/>
      <c r="K59" s="2" t="n"/>
      <c r="L59" s="2" t="n"/>
      <c r="M59" s="2" t="n"/>
      <c r="N59" s="2" t="n"/>
    </row>
    <row r="60">
      <c r="A60" s="2" t="n"/>
      <c r="B60" s="2" t="n"/>
      <c r="C60" s="2" t="n"/>
      <c r="D60" s="2" t="n"/>
      <c r="E60" s="2" t="n"/>
      <c r="F60" s="2" t="n"/>
      <c r="G60" s="2" t="n"/>
      <c r="H60" s="2" t="n"/>
      <c r="I60" s="2" t="n"/>
      <c r="J60" s="2" t="n"/>
      <c r="K60" s="2" t="n"/>
      <c r="L60" s="2" t="n"/>
      <c r="M60" s="2" t="n"/>
      <c r="N60" s="2" t="n"/>
    </row>
  </sheetData>
  <mergeCells count="5">
    <mergeCell ref="A16:F16"/>
    <mergeCell ref="A1:J1"/>
    <mergeCell ref="A11:F11"/>
    <mergeCell ref="A23:F23"/>
    <mergeCell ref="A3:J3"/>
  </mergeCells>
  <pageMargins left="0.75" right="0.75" top="1" bottom="1" header="0.5" footer="0.5"/>
</worksheet>
</file>

<file path=xl/worksheets/sheet4.xml><?xml version="1.0" encoding="utf-8"?>
<worksheet xmlns="http://schemas.openxmlformats.org/spreadsheetml/2006/main">
  <sheetPr>
    <tabColor rgb="00F5C542"/>
    <outlinePr summaryBelow="1" summaryRight="1"/>
    <pageSetUpPr/>
  </sheetPr>
  <dimension ref="A1:N80"/>
  <sheetViews>
    <sheetView showGridLines="0" workbookViewId="0">
      <selection activeCell="A1" sqref="A1"/>
    </sheetView>
  </sheetViews>
  <sheetFormatPr baseColWidth="8" defaultRowHeight="15"/>
  <cols>
    <col width="32"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ht="24" customHeight="1">
      <c r="A1" s="41" t="inlineStr">
        <is>
          <t>ZM — FINANCIAL STATEMENTS</t>
        </is>
      </c>
      <c r="H1" s="2" t="n"/>
      <c r="I1" s="2" t="n"/>
      <c r="J1" s="2" t="n"/>
      <c r="K1" s="2" t="n"/>
      <c r="L1" s="2" t="n"/>
      <c r="M1" s="2" t="n"/>
      <c r="N1" s="2" t="n"/>
    </row>
    <row r="2">
      <c r="A2" s="2" t="n"/>
      <c r="B2" s="2" t="n"/>
      <c r="C2" s="2" t="n"/>
      <c r="D2" s="2" t="n"/>
      <c r="E2" s="2" t="n"/>
      <c r="F2" s="2" t="n"/>
      <c r="G2" s="2" t="n"/>
      <c r="H2" s="2" t="n"/>
      <c r="I2" s="2" t="n"/>
      <c r="J2" s="2" t="n"/>
      <c r="K2" s="2" t="n"/>
      <c r="L2" s="2" t="n"/>
      <c r="M2" s="2" t="n"/>
      <c r="N2" s="2" t="n"/>
    </row>
    <row r="3">
      <c r="A3" s="6" t="inlineStr">
        <is>
          <t>REVENUE ANALYSIS</t>
        </is>
      </c>
      <c r="G3" s="2" t="n"/>
      <c r="H3" s="2" t="n"/>
      <c r="I3" s="2" t="n"/>
      <c r="J3" s="2" t="n"/>
      <c r="K3" s="2" t="n"/>
      <c r="L3" s="2" t="n"/>
      <c r="M3" s="2" t="n"/>
      <c r="N3" s="2" t="n"/>
    </row>
    <row r="4">
      <c r="A4" s="7" t="inlineStr">
        <is>
          <t>Metric</t>
        </is>
      </c>
      <c r="B4" s="7" t="inlineStr">
        <is>
          <t>FY-2 (Jan 2024)</t>
        </is>
      </c>
      <c r="C4" s="7" t="inlineStr">
        <is>
          <t>FY-1 (Jan 2025)</t>
        </is>
      </c>
      <c r="D4" s="7" t="inlineStr">
        <is>
          <t>FY0 (Jan 2026)</t>
        </is>
      </c>
      <c r="E4" s="2" t="n"/>
      <c r="F4" s="2" t="n"/>
      <c r="G4" s="2" t="n"/>
      <c r="H4" s="2" t="n"/>
      <c r="I4" s="2" t="n"/>
      <c r="J4" s="2" t="n"/>
      <c r="K4" s="2" t="n"/>
      <c r="L4" s="2" t="n"/>
      <c r="M4" s="2" t="n"/>
      <c r="N4" s="2" t="n"/>
    </row>
    <row r="5">
      <c r="A5" s="10" t="inlineStr">
        <is>
          <t>Revenue ($mm)</t>
        </is>
      </c>
      <c r="B5" s="11" t="inlineStr">
        <is>
          <t>$4,527</t>
        </is>
      </c>
      <c r="C5" s="11" t="inlineStr">
        <is>
          <t>$4,665</t>
        </is>
      </c>
      <c r="D5" s="11" t="inlineStr">
        <is>
          <t>$4,869</t>
        </is>
      </c>
      <c r="E5" s="2" t="n"/>
      <c r="F5" s="2" t="n"/>
      <c r="G5" s="2" t="n"/>
      <c r="H5" s="2" t="n"/>
      <c r="I5" s="2" t="n"/>
      <c r="J5" s="2" t="n"/>
      <c r="K5" s="2" t="n"/>
      <c r="L5" s="2" t="n"/>
      <c r="M5" s="2" t="n"/>
      <c r="N5" s="2" t="n"/>
    </row>
    <row r="6">
      <c r="A6" s="8" t="inlineStr">
        <is>
          <t>YoY Growth%</t>
        </is>
      </c>
      <c r="B6" s="9" t="inlineStr">
        <is>
          <t>N/A</t>
        </is>
      </c>
      <c r="C6" s="9" t="inlineStr">
        <is>
          <t>3.1%</t>
        </is>
      </c>
      <c r="D6" s="9" t="inlineStr">
        <is>
          <t>4.4%</t>
        </is>
      </c>
      <c r="E6" s="2" t="n"/>
      <c r="F6" s="2" t="n"/>
      <c r="G6" s="2" t="n"/>
      <c r="H6" s="2" t="n"/>
      <c r="I6" s="2" t="n"/>
      <c r="J6" s="2" t="n"/>
      <c r="K6" s="2" t="n"/>
      <c r="L6" s="2" t="n"/>
      <c r="M6" s="2" t="n"/>
      <c r="N6" s="2" t="n"/>
    </row>
    <row r="7">
      <c r="A7" s="3" t="inlineStr">
        <is>
          <t>3-Year Revenue CAGR</t>
        </is>
      </c>
      <c r="B7" s="5" t="inlineStr">
        <is>
          <t>DATA UNAVAILABLE — only 2 years of growth computable%</t>
        </is>
      </c>
      <c r="C7" s="2" t="n"/>
      <c r="D7" s="2" t="n"/>
      <c r="E7" s="2" t="n"/>
      <c r="F7" s="2" t="n"/>
      <c r="G7" s="2" t="n"/>
      <c r="H7" s="2" t="n"/>
      <c r="I7" s="2" t="n"/>
      <c r="J7" s="2" t="n"/>
      <c r="K7" s="2" t="n"/>
      <c r="L7" s="2" t="n"/>
      <c r="M7" s="2" t="n"/>
      <c r="N7" s="2" t="n"/>
    </row>
    <row r="8">
      <c r="A8" s="3" t="inlineStr">
        <is>
          <t>Revenue Quality</t>
        </is>
      </c>
      <c r="B8" s="5" t="inlineStr">
        <is>
          <t>—</t>
        </is>
      </c>
      <c r="C8" s="2" t="n"/>
      <c r="D8" s="2" t="n"/>
      <c r="E8" s="2" t="n"/>
      <c r="F8" s="2" t="n"/>
      <c r="G8" s="2" t="n"/>
      <c r="H8" s="2" t="n"/>
      <c r="I8" s="2" t="n"/>
      <c r="J8" s="2" t="n"/>
      <c r="K8" s="2" t="n"/>
      <c r="L8" s="2" t="n"/>
      <c r="M8" s="2" t="n"/>
      <c r="N8" s="2" t="n"/>
    </row>
    <row r="9">
      <c r="A9" s="2" t="n"/>
      <c r="B9" s="2" t="n"/>
      <c r="C9" s="2" t="n"/>
      <c r="D9" s="2" t="n"/>
      <c r="E9" s="2" t="n"/>
      <c r="F9" s="2" t="n"/>
      <c r="G9" s="2" t="n"/>
      <c r="H9" s="2" t="n"/>
      <c r="I9" s="2" t="n"/>
      <c r="J9" s="2" t="n"/>
      <c r="K9" s="2" t="n"/>
      <c r="L9" s="2" t="n"/>
      <c r="M9" s="2" t="n"/>
      <c r="N9" s="2" t="n"/>
    </row>
    <row r="10">
      <c r="A10" s="6" t="inlineStr">
        <is>
          <t>MARGIN ANALYSIS</t>
        </is>
      </c>
      <c r="G10" s="2" t="n"/>
      <c r="H10" s="2" t="n"/>
      <c r="I10" s="2" t="n"/>
      <c r="J10" s="2" t="n"/>
      <c r="K10" s="2" t="n"/>
      <c r="L10" s="2" t="n"/>
      <c r="M10" s="2" t="n"/>
      <c r="N10" s="2" t="n"/>
    </row>
    <row r="11">
      <c r="A11" s="3" t="inlineStr">
        <is>
          <t>Normalized EBIT Margin</t>
        </is>
      </c>
      <c r="B11" s="5" t="inlineStr">
        <is>
          <t>23.5%</t>
        </is>
      </c>
      <c r="C11" s="2" t="n"/>
      <c r="D11" s="2" t="n"/>
      <c r="E11" s="2" t="n"/>
      <c r="F11" s="2" t="n"/>
      <c r="G11" s="2" t="n"/>
      <c r="H11" s="2" t="n"/>
      <c r="I11" s="2" t="n"/>
      <c r="J11" s="2" t="n"/>
      <c r="K11" s="2" t="n"/>
      <c r="L11" s="2" t="n"/>
      <c r="M11" s="2" t="n"/>
      <c r="N11" s="2" t="n"/>
    </row>
    <row r="12">
      <c r="A12" s="3" t="inlineStr">
        <is>
          <t>Margin Direction</t>
        </is>
      </c>
      <c r="B12" s="5" t="inlineStr">
        <is>
          <t>—</t>
        </is>
      </c>
      <c r="C12" s="2" t="n"/>
      <c r="D12" s="2" t="n"/>
      <c r="E12" s="2" t="n"/>
      <c r="F12" s="2" t="n"/>
      <c r="G12" s="2" t="n"/>
      <c r="H12" s="2" t="n"/>
      <c r="I12" s="2" t="n"/>
      <c r="J12" s="2" t="n"/>
      <c r="K12" s="2" t="n"/>
      <c r="L12" s="2" t="n"/>
      <c r="M12" s="2" t="n"/>
      <c r="N12" s="2" t="n"/>
    </row>
    <row r="13">
      <c r="A13" s="2" t="n"/>
      <c r="B13" s="2" t="n"/>
      <c r="C13" s="2" t="n"/>
      <c r="D13" s="2" t="n"/>
      <c r="E13" s="2" t="n"/>
      <c r="F13" s="2" t="n"/>
      <c r="G13" s="2" t="n"/>
      <c r="H13" s="2" t="n"/>
      <c r="I13" s="2" t="n"/>
      <c r="J13" s="2" t="n"/>
      <c r="K13" s="2" t="n"/>
      <c r="L13" s="2" t="n"/>
      <c r="M13" s="2" t="n"/>
      <c r="N13" s="2" t="n"/>
    </row>
    <row r="14">
      <c r="A14" s="6" t="inlineStr">
        <is>
          <t>BALANCE SHEET SUMMARY</t>
        </is>
      </c>
      <c r="E14" s="2" t="n"/>
      <c r="F14" s="2" t="n"/>
      <c r="G14" s="2" t="n"/>
      <c r="H14" s="2" t="n"/>
      <c r="I14" s="2" t="n"/>
      <c r="J14" s="2" t="n"/>
      <c r="K14" s="2" t="n"/>
      <c r="L14" s="2" t="n"/>
      <c r="M14" s="2" t="n"/>
      <c r="N14" s="2" t="n"/>
    </row>
    <row r="15">
      <c r="A15" s="3" t="inlineStr">
        <is>
          <t>Net Debt ($mm)</t>
        </is>
      </c>
      <c r="B15" s="5" t="inlineStr">
        <is>
          <t>$-7,758</t>
        </is>
      </c>
      <c r="C15" s="2" t="n"/>
      <c r="D15" s="2" t="n"/>
      <c r="E15" s="2" t="n"/>
      <c r="F15" s="2" t="n"/>
      <c r="G15" s="2" t="n"/>
      <c r="H15" s="2" t="n"/>
      <c r="I15" s="2" t="n"/>
      <c r="J15" s="2" t="n"/>
      <c r="K15" s="2" t="n"/>
      <c r="L15" s="2" t="n"/>
      <c r="M15" s="2" t="n"/>
      <c r="N15" s="2" t="n"/>
    </row>
    <row r="16">
      <c r="A16" s="3" t="inlineStr">
        <is>
          <t>Net Debt/EBITDA</t>
        </is>
      </c>
      <c r="B16" s="5" t="inlineStr">
        <is>
          <t>-6.1x</t>
        </is>
      </c>
      <c r="C16" s="2" t="n"/>
      <c r="D16" s="2" t="n"/>
      <c r="E16" s="2" t="n"/>
      <c r="F16" s="2" t="n"/>
      <c r="G16" s="2" t="n"/>
      <c r="H16" s="2" t="n"/>
      <c r="I16" s="2" t="n"/>
      <c r="J16" s="2" t="n"/>
      <c r="K16" s="2" t="n"/>
      <c r="L16" s="2" t="n"/>
      <c r="M16" s="2" t="n"/>
      <c r="N16" s="2" t="n"/>
    </row>
    <row r="17">
      <c r="A17" s="3" t="inlineStr">
        <is>
          <t>Interest Coverage</t>
        </is>
      </c>
      <c r="B17" s="5" t="inlineStr">
        <is>
          <t>?x</t>
        </is>
      </c>
      <c r="C17" s="2" t="n"/>
      <c r="D17" s="2" t="n"/>
      <c r="E17" s="2" t="n"/>
      <c r="F17" s="2" t="n"/>
      <c r="G17" s="2" t="n"/>
      <c r="H17" s="2" t="n"/>
      <c r="I17" s="2" t="n"/>
      <c r="J17" s="2" t="n"/>
      <c r="K17" s="2" t="n"/>
      <c r="L17" s="2" t="n"/>
      <c r="M17" s="2" t="n"/>
      <c r="N17" s="2" t="n"/>
    </row>
    <row r="18">
      <c r="A18" s="3" t="inlineStr">
        <is>
          <t>Balance Sheet Assessment</t>
        </is>
      </c>
      <c r="B18" s="5" t="inlineStr">
        <is>
          <t>—</t>
        </is>
      </c>
      <c r="C18" s="2" t="n"/>
      <c r="D18" s="2" t="n"/>
      <c r="E18" s="2" t="n"/>
      <c r="F18" s="2" t="n"/>
      <c r="G18" s="2" t="n"/>
      <c r="H18" s="2" t="n"/>
      <c r="I18" s="2" t="n"/>
      <c r="J18" s="2" t="n"/>
      <c r="K18" s="2" t="n"/>
      <c r="L18" s="2" t="n"/>
      <c r="M18" s="2" t="n"/>
      <c r="N18" s="2" t="n"/>
    </row>
    <row r="19">
      <c r="A19" s="2" t="n"/>
      <c r="B19" s="2" t="n"/>
      <c r="C19" s="2" t="n"/>
      <c r="D19" s="2" t="n"/>
      <c r="E19" s="2" t="n"/>
      <c r="F19" s="2" t="n"/>
      <c r="G19" s="2" t="n"/>
      <c r="H19" s="2" t="n"/>
      <c r="I19" s="2" t="n"/>
      <c r="J19" s="2" t="n"/>
      <c r="K19" s="2" t="n"/>
      <c r="L19" s="2" t="n"/>
      <c r="M19" s="2" t="n"/>
      <c r="N19" s="2" t="n"/>
    </row>
    <row r="20">
      <c r="A20" s="6" t="inlineStr">
        <is>
          <t>RETURN ON INVESTED CAPITAL</t>
        </is>
      </c>
      <c r="G20" s="2" t="n"/>
      <c r="H20" s="2" t="n"/>
      <c r="I20" s="2" t="n"/>
      <c r="J20" s="2" t="n"/>
      <c r="K20" s="2" t="n"/>
      <c r="L20" s="2" t="n"/>
      <c r="M20" s="2" t="n"/>
      <c r="N20" s="2" t="n"/>
    </row>
    <row r="21">
      <c r="A21" s="7" t="inlineStr">
        <is>
          <t>Metric</t>
        </is>
      </c>
      <c r="B21" s="7" t="inlineStr">
        <is>
          <t>FY0</t>
        </is>
      </c>
      <c r="C21" s="2" t="n"/>
      <c r="D21" s="2" t="n"/>
      <c r="E21" s="2" t="n"/>
      <c r="F21" s="2" t="n"/>
      <c r="G21" s="2" t="n"/>
      <c r="H21" s="2" t="n"/>
      <c r="I21" s="2" t="n"/>
      <c r="J21" s="2" t="n"/>
      <c r="K21" s="2" t="n"/>
      <c r="L21" s="2" t="n"/>
      <c r="M21" s="2" t="n"/>
      <c r="N21" s="2" t="n"/>
    </row>
    <row r="22">
      <c r="A22" s="10" t="inlineStr">
        <is>
          <t>ROIC%</t>
        </is>
      </c>
      <c r="B22" s="11" t="inlineStr">
        <is>
          <t>21.6%</t>
        </is>
      </c>
      <c r="C22" s="2" t="n"/>
      <c r="D22" s="2" t="n"/>
      <c r="E22" s="2" t="n"/>
      <c r="F22" s="2" t="n"/>
      <c r="G22" s="2" t="n"/>
      <c r="H22" s="2" t="n"/>
      <c r="I22" s="2" t="n"/>
      <c r="J22" s="2" t="n"/>
      <c r="K22" s="2" t="n"/>
      <c r="L22" s="2" t="n"/>
      <c r="M22" s="2" t="n"/>
      <c r="N22" s="2" t="n"/>
    </row>
    <row r="23">
      <c r="A23" s="3" t="inlineStr">
        <is>
          <t>ROIC-WACC Spread</t>
        </is>
      </c>
      <c r="B23" s="5" t="inlineStr">
        <is>
          <t>Approximately +12-14pp assuming 8-10% WACC%</t>
        </is>
      </c>
      <c r="C23" s="2" t="n"/>
      <c r="D23" s="2" t="n"/>
      <c r="E23" s="2" t="n"/>
      <c r="F23" s="2" t="n"/>
      <c r="G23" s="2" t="n"/>
      <c r="H23" s="2" t="n"/>
      <c r="I23" s="2" t="n"/>
      <c r="J23" s="2" t="n"/>
      <c r="K23" s="2" t="n"/>
      <c r="L23" s="2" t="n"/>
      <c r="M23" s="2" t="n"/>
      <c r="N23" s="2" t="n"/>
    </row>
    <row r="24">
      <c r="A24" s="3" t="inlineStr">
        <is>
          <t>ROIC Trend</t>
        </is>
      </c>
      <c r="B24" s="5" t="inlineStr">
        <is>
          <t>improving</t>
        </is>
      </c>
      <c r="C24" s="2" t="n"/>
      <c r="D24" s="2" t="n"/>
      <c r="E24" s="2" t="n"/>
      <c r="F24" s="2" t="n"/>
      <c r="G24" s="2" t="n"/>
      <c r="H24" s="2" t="n"/>
      <c r="I24" s="2" t="n"/>
      <c r="J24" s="2" t="n"/>
      <c r="K24" s="2" t="n"/>
      <c r="L24" s="2" t="n"/>
      <c r="M24" s="2" t="n"/>
      <c r="N24" s="2" t="n"/>
    </row>
    <row r="25">
      <c r="A25" s="2" t="n"/>
      <c r="B25" s="2" t="n"/>
      <c r="C25" s="2" t="n"/>
      <c r="D25" s="2" t="n"/>
      <c r="E25" s="2" t="n"/>
      <c r="F25" s="2" t="n"/>
      <c r="G25" s="2" t="n"/>
      <c r="H25" s="2" t="n"/>
      <c r="I25" s="2" t="n"/>
      <c r="J25" s="2" t="n"/>
      <c r="K25" s="2" t="n"/>
      <c r="L25" s="2" t="n"/>
      <c r="M25" s="2" t="n"/>
      <c r="N25" s="2" t="n"/>
    </row>
    <row r="26">
      <c r="A26" s="2" t="n"/>
      <c r="B26" s="2" t="n"/>
      <c r="C26" s="2" t="n"/>
      <c r="D26" s="2" t="n"/>
      <c r="E26" s="2" t="n"/>
      <c r="F26" s="2" t="n"/>
      <c r="G26" s="2" t="n"/>
      <c r="H26" s="2" t="n"/>
      <c r="I26" s="2" t="n"/>
      <c r="J26" s="2" t="n"/>
      <c r="K26" s="2" t="n"/>
      <c r="L26" s="2" t="n"/>
      <c r="M26" s="2" t="n"/>
      <c r="N26" s="2" t="n"/>
    </row>
    <row r="27">
      <c r="A27" s="2" t="n"/>
      <c r="B27" s="2" t="n"/>
      <c r="C27" s="2" t="n"/>
      <c r="D27" s="2" t="n"/>
      <c r="E27" s="2" t="n"/>
      <c r="F27" s="2" t="n"/>
      <c r="G27" s="2" t="n"/>
      <c r="H27" s="2" t="n"/>
      <c r="I27" s="2" t="n"/>
      <c r="J27" s="2" t="n"/>
      <c r="K27" s="2" t="n"/>
      <c r="L27" s="2" t="n"/>
      <c r="M27" s="2" t="n"/>
      <c r="N27" s="2" t="n"/>
    </row>
    <row r="28">
      <c r="A28" s="2" t="n"/>
      <c r="B28" s="2" t="n"/>
      <c r="C28" s="2" t="n"/>
      <c r="D28" s="2" t="n"/>
      <c r="E28" s="2" t="n"/>
      <c r="F28" s="2" t="n"/>
      <c r="G28" s="2" t="n"/>
      <c r="H28" s="2" t="n"/>
      <c r="I28" s="2" t="n"/>
      <c r="J28" s="2" t="n"/>
      <c r="K28" s="2" t="n"/>
      <c r="L28" s="2" t="n"/>
      <c r="M28" s="2" t="n"/>
      <c r="N28" s="2" t="n"/>
    </row>
    <row r="29">
      <c r="A29" s="2" t="n"/>
      <c r="B29" s="2" t="n"/>
      <c r="C29" s="2" t="n"/>
      <c r="D29" s="2" t="n"/>
      <c r="E29" s="2" t="n"/>
      <c r="F29" s="2" t="n"/>
      <c r="G29" s="2" t="n"/>
      <c r="H29" s="2" t="n"/>
      <c r="I29" s="2" t="n"/>
      <c r="J29" s="2" t="n"/>
      <c r="K29" s="2" t="n"/>
      <c r="L29" s="2" t="n"/>
      <c r="M29" s="2" t="n"/>
      <c r="N29" s="2" t="n"/>
    </row>
    <row r="30">
      <c r="A30" s="2" t="n"/>
      <c r="B30" s="2" t="n"/>
      <c r="C30" s="2" t="n"/>
      <c r="D30" s="2" t="n"/>
      <c r="E30" s="2" t="n"/>
      <c r="F30" s="2" t="n"/>
      <c r="G30" s="2" t="n"/>
      <c r="H30" s="2" t="n"/>
      <c r="I30" s="2" t="n"/>
      <c r="J30" s="2" t="n"/>
      <c r="K30" s="2" t="n"/>
      <c r="L30" s="2" t="n"/>
      <c r="M30" s="2" t="n"/>
      <c r="N30" s="2" t="n"/>
    </row>
    <row r="31">
      <c r="A31" s="2" t="n"/>
      <c r="B31" s="2" t="n"/>
      <c r="C31" s="2" t="n"/>
      <c r="D31" s="2" t="n"/>
      <c r="E31" s="2" t="n"/>
      <c r="F31" s="2" t="n"/>
      <c r="G31" s="2" t="n"/>
      <c r="H31" s="2" t="n"/>
      <c r="I31" s="2" t="n"/>
      <c r="J31" s="2" t="n"/>
      <c r="K31" s="2" t="n"/>
      <c r="L31" s="2" t="n"/>
      <c r="M31" s="2" t="n"/>
      <c r="N31" s="2" t="n"/>
    </row>
    <row r="32">
      <c r="A32" s="2" t="n"/>
      <c r="B32" s="2" t="n"/>
      <c r="C32" s="2" t="n"/>
      <c r="D32" s="2" t="n"/>
      <c r="E32" s="2" t="n"/>
      <c r="F32" s="2" t="n"/>
      <c r="G32" s="2" t="n"/>
      <c r="H32" s="2" t="n"/>
      <c r="I32" s="2" t="n"/>
      <c r="J32" s="2" t="n"/>
      <c r="K32" s="2" t="n"/>
      <c r="L32" s="2" t="n"/>
      <c r="M32" s="2" t="n"/>
      <c r="N32" s="2" t="n"/>
    </row>
    <row r="33">
      <c r="A33" s="2" t="n"/>
      <c r="B33" s="2" t="n"/>
      <c r="C33" s="2" t="n"/>
      <c r="D33" s="2" t="n"/>
      <c r="E33" s="2" t="n"/>
      <c r="F33" s="2" t="n"/>
      <c r="G33" s="2" t="n"/>
      <c r="H33" s="2" t="n"/>
      <c r="I33" s="2" t="n"/>
      <c r="J33" s="2" t="n"/>
      <c r="K33" s="2" t="n"/>
      <c r="L33" s="2" t="n"/>
      <c r="M33" s="2" t="n"/>
      <c r="N33" s="2" t="n"/>
    </row>
    <row r="34">
      <c r="A34" s="2" t="n"/>
      <c r="B34" s="2" t="n"/>
      <c r="C34" s="2" t="n"/>
      <c r="D34" s="2" t="n"/>
      <c r="E34" s="2" t="n"/>
      <c r="F34" s="2" t="n"/>
      <c r="G34" s="2" t="n"/>
      <c r="H34" s="2" t="n"/>
      <c r="I34" s="2" t="n"/>
      <c r="J34" s="2" t="n"/>
      <c r="K34" s="2" t="n"/>
      <c r="L34" s="2" t="n"/>
      <c r="M34" s="2" t="n"/>
      <c r="N34" s="2" t="n"/>
    </row>
    <row r="35">
      <c r="A35" s="2" t="n"/>
      <c r="B35" s="2" t="n"/>
      <c r="C35" s="2" t="n"/>
      <c r="D35" s="2" t="n"/>
      <c r="E35" s="2" t="n"/>
      <c r="F35" s="2" t="n"/>
      <c r="G35" s="2" t="n"/>
      <c r="H35" s="2" t="n"/>
      <c r="I35" s="2" t="n"/>
      <c r="J35" s="2" t="n"/>
      <c r="K35" s="2" t="n"/>
      <c r="L35" s="2" t="n"/>
      <c r="M35" s="2" t="n"/>
      <c r="N35" s="2" t="n"/>
    </row>
    <row r="36">
      <c r="A36" s="2" t="n"/>
      <c r="B36" s="2" t="n"/>
      <c r="C36" s="2" t="n"/>
      <c r="D36" s="2" t="n"/>
      <c r="E36" s="2" t="n"/>
      <c r="F36" s="2" t="n"/>
      <c r="G36" s="2" t="n"/>
      <c r="H36" s="2" t="n"/>
      <c r="I36" s="2" t="n"/>
      <c r="J36" s="2" t="n"/>
      <c r="K36" s="2" t="n"/>
      <c r="L36" s="2" t="n"/>
      <c r="M36" s="2" t="n"/>
      <c r="N36" s="2" t="n"/>
    </row>
    <row r="37">
      <c r="A37" s="2" t="n"/>
      <c r="B37" s="2" t="n"/>
      <c r="C37" s="2" t="n"/>
      <c r="D37" s="2" t="n"/>
      <c r="E37" s="2" t="n"/>
      <c r="F37" s="2" t="n"/>
      <c r="G37" s="2" t="n"/>
      <c r="H37" s="2" t="n"/>
      <c r="I37" s="2" t="n"/>
      <c r="J37" s="2" t="n"/>
      <c r="K37" s="2" t="n"/>
      <c r="L37" s="2" t="n"/>
      <c r="M37" s="2" t="n"/>
      <c r="N37" s="2" t="n"/>
    </row>
    <row r="38">
      <c r="A38" s="2" t="n"/>
      <c r="B38" s="2" t="n"/>
      <c r="C38" s="2" t="n"/>
      <c r="D38" s="2" t="n"/>
      <c r="E38" s="2" t="n"/>
      <c r="F38" s="2" t="n"/>
      <c r="G38" s="2" t="n"/>
      <c r="H38" s="2" t="n"/>
      <c r="I38" s="2" t="n"/>
      <c r="J38" s="2" t="n"/>
      <c r="K38" s="2" t="n"/>
      <c r="L38" s="2" t="n"/>
      <c r="M38" s="2" t="n"/>
      <c r="N38" s="2" t="n"/>
    </row>
    <row r="39">
      <c r="A39" s="2" t="n"/>
      <c r="B39" s="2" t="n"/>
      <c r="C39" s="2" t="n"/>
      <c r="D39" s="2" t="n"/>
      <c r="E39" s="2" t="n"/>
      <c r="F39" s="2" t="n"/>
      <c r="G39" s="2" t="n"/>
      <c r="H39" s="2" t="n"/>
      <c r="I39" s="2" t="n"/>
      <c r="J39" s="2" t="n"/>
      <c r="K39" s="2" t="n"/>
      <c r="L39" s="2" t="n"/>
      <c r="M39" s="2" t="n"/>
      <c r="N39" s="2" t="n"/>
    </row>
    <row r="40">
      <c r="A40" s="2" t="n"/>
      <c r="B40" s="2" t="n"/>
      <c r="C40" s="2" t="n"/>
      <c r="D40" s="2" t="n"/>
      <c r="E40" s="2" t="n"/>
      <c r="F40" s="2" t="n"/>
      <c r="G40" s="2" t="n"/>
      <c r="H40" s="2" t="n"/>
      <c r="I40" s="2" t="n"/>
      <c r="J40" s="2" t="n"/>
      <c r="K40" s="2" t="n"/>
      <c r="L40" s="2" t="n"/>
      <c r="M40" s="2" t="n"/>
      <c r="N40" s="2" t="n"/>
    </row>
    <row r="41">
      <c r="A41" s="2" t="n"/>
      <c r="B41" s="2" t="n"/>
      <c r="C41" s="2" t="n"/>
      <c r="D41" s="2" t="n"/>
      <c r="E41" s="2" t="n"/>
      <c r="F41" s="2" t="n"/>
      <c r="G41" s="2" t="n"/>
      <c r="H41" s="2" t="n"/>
      <c r="I41" s="2" t="n"/>
      <c r="J41" s="2" t="n"/>
      <c r="K41" s="2" t="n"/>
      <c r="L41" s="2" t="n"/>
      <c r="M41" s="2" t="n"/>
      <c r="N41" s="2" t="n"/>
    </row>
    <row r="42">
      <c r="A42" s="2" t="n"/>
      <c r="B42" s="2" t="n"/>
      <c r="C42" s="2" t="n"/>
      <c r="D42" s="2" t="n"/>
      <c r="E42" s="2" t="n"/>
      <c r="F42" s="2" t="n"/>
      <c r="G42" s="2" t="n"/>
      <c r="H42" s="2" t="n"/>
      <c r="I42" s="2" t="n"/>
      <c r="J42" s="2" t="n"/>
      <c r="K42" s="2" t="n"/>
      <c r="L42" s="2" t="n"/>
      <c r="M42" s="2" t="n"/>
      <c r="N42" s="2" t="n"/>
    </row>
    <row r="43">
      <c r="A43" s="2" t="n"/>
      <c r="B43" s="2" t="n"/>
      <c r="C43" s="2" t="n"/>
      <c r="D43" s="2" t="n"/>
      <c r="E43" s="2" t="n"/>
      <c r="F43" s="2" t="n"/>
      <c r="G43" s="2" t="n"/>
      <c r="H43" s="2" t="n"/>
      <c r="I43" s="2" t="n"/>
      <c r="J43" s="2" t="n"/>
      <c r="K43" s="2" t="n"/>
      <c r="L43" s="2" t="n"/>
      <c r="M43" s="2" t="n"/>
      <c r="N43" s="2" t="n"/>
    </row>
    <row r="44">
      <c r="A44" s="2" t="n"/>
      <c r="B44" s="2" t="n"/>
      <c r="C44" s="2" t="n"/>
      <c r="D44" s="2" t="n"/>
      <c r="E44" s="2" t="n"/>
      <c r="F44" s="2" t="n"/>
      <c r="G44" s="2" t="n"/>
      <c r="H44" s="2" t="n"/>
      <c r="I44" s="2" t="n"/>
      <c r="J44" s="2" t="n"/>
      <c r="K44" s="2" t="n"/>
      <c r="L44" s="2" t="n"/>
      <c r="M44" s="2" t="n"/>
      <c r="N44" s="2" t="n"/>
    </row>
    <row r="45">
      <c r="A45" s="2" t="n"/>
      <c r="B45" s="2" t="n"/>
      <c r="C45" s="2" t="n"/>
      <c r="D45" s="2" t="n"/>
      <c r="E45" s="2" t="n"/>
      <c r="F45" s="2" t="n"/>
      <c r="G45" s="2" t="n"/>
      <c r="H45" s="2" t="n"/>
      <c r="I45" s="2" t="n"/>
      <c r="J45" s="2" t="n"/>
      <c r="K45" s="2" t="n"/>
      <c r="L45" s="2" t="n"/>
      <c r="M45" s="2" t="n"/>
      <c r="N45" s="2" t="n"/>
    </row>
    <row r="46">
      <c r="A46" s="2" t="n"/>
      <c r="B46" s="2" t="n"/>
      <c r="C46" s="2" t="n"/>
      <c r="D46" s="2" t="n"/>
      <c r="E46" s="2" t="n"/>
      <c r="F46" s="2" t="n"/>
      <c r="G46" s="2" t="n"/>
      <c r="H46" s="2" t="n"/>
      <c r="I46" s="2" t="n"/>
      <c r="J46" s="2" t="n"/>
      <c r="K46" s="2" t="n"/>
      <c r="L46" s="2" t="n"/>
      <c r="M46" s="2" t="n"/>
      <c r="N46" s="2" t="n"/>
    </row>
    <row r="47">
      <c r="A47" s="2" t="n"/>
      <c r="B47" s="2" t="n"/>
      <c r="C47" s="2" t="n"/>
      <c r="D47" s="2" t="n"/>
      <c r="E47" s="2" t="n"/>
      <c r="F47" s="2" t="n"/>
      <c r="G47" s="2" t="n"/>
      <c r="H47" s="2" t="n"/>
      <c r="I47" s="2" t="n"/>
      <c r="J47" s="2" t="n"/>
      <c r="K47" s="2" t="n"/>
      <c r="L47" s="2" t="n"/>
      <c r="M47" s="2" t="n"/>
      <c r="N47" s="2" t="n"/>
    </row>
    <row r="48">
      <c r="A48" s="2" t="n"/>
      <c r="B48" s="2" t="n"/>
      <c r="C48" s="2" t="n"/>
      <c r="D48" s="2" t="n"/>
      <c r="E48" s="2" t="n"/>
      <c r="F48" s="2" t="n"/>
      <c r="G48" s="2" t="n"/>
      <c r="H48" s="2" t="n"/>
      <c r="I48" s="2" t="n"/>
      <c r="J48" s="2" t="n"/>
      <c r="K48" s="2" t="n"/>
      <c r="L48" s="2" t="n"/>
      <c r="M48" s="2" t="n"/>
      <c r="N48" s="2" t="n"/>
    </row>
    <row r="49">
      <c r="A49" s="2" t="n"/>
      <c r="B49" s="2" t="n"/>
      <c r="C49" s="2" t="n"/>
      <c r="D49" s="2" t="n"/>
      <c r="E49" s="2" t="n"/>
      <c r="F49" s="2" t="n"/>
      <c r="G49" s="2" t="n"/>
      <c r="H49" s="2" t="n"/>
      <c r="I49" s="2" t="n"/>
      <c r="J49" s="2" t="n"/>
      <c r="K49" s="2" t="n"/>
      <c r="L49" s="2" t="n"/>
      <c r="M49" s="2" t="n"/>
      <c r="N49" s="2" t="n"/>
    </row>
    <row r="50">
      <c r="A50" s="2" t="n"/>
      <c r="B50" s="2" t="n"/>
      <c r="C50" s="2" t="n"/>
      <c r="D50" s="2" t="n"/>
      <c r="E50" s="2" t="n"/>
      <c r="F50" s="2" t="n"/>
      <c r="G50" s="2" t="n"/>
      <c r="H50" s="2" t="n"/>
      <c r="I50" s="2" t="n"/>
      <c r="J50" s="2" t="n"/>
      <c r="K50" s="2" t="n"/>
      <c r="L50" s="2" t="n"/>
      <c r="M50" s="2" t="n"/>
      <c r="N50" s="2" t="n"/>
    </row>
    <row r="51">
      <c r="A51" s="2" t="n"/>
      <c r="B51" s="2" t="n"/>
      <c r="C51" s="2" t="n"/>
      <c r="D51" s="2" t="n"/>
      <c r="E51" s="2" t="n"/>
      <c r="F51" s="2" t="n"/>
      <c r="G51" s="2" t="n"/>
      <c r="H51" s="2" t="n"/>
      <c r="I51" s="2" t="n"/>
      <c r="J51" s="2" t="n"/>
      <c r="K51" s="2" t="n"/>
      <c r="L51" s="2" t="n"/>
      <c r="M51" s="2" t="n"/>
      <c r="N51" s="2" t="n"/>
    </row>
    <row r="52">
      <c r="A52" s="2" t="n"/>
      <c r="B52" s="2" t="n"/>
      <c r="C52" s="2" t="n"/>
      <c r="D52" s="2" t="n"/>
      <c r="E52" s="2" t="n"/>
      <c r="F52" s="2" t="n"/>
      <c r="G52" s="2" t="n"/>
      <c r="H52" s="2" t="n"/>
      <c r="I52" s="2" t="n"/>
      <c r="J52" s="2" t="n"/>
      <c r="K52" s="2" t="n"/>
      <c r="L52" s="2" t="n"/>
      <c r="M52" s="2" t="n"/>
      <c r="N52" s="2" t="n"/>
    </row>
    <row r="53">
      <c r="A53" s="2" t="n"/>
      <c r="B53" s="2" t="n"/>
      <c r="C53" s="2" t="n"/>
      <c r="D53" s="2" t="n"/>
      <c r="E53" s="2" t="n"/>
      <c r="F53" s="2" t="n"/>
      <c r="G53" s="2" t="n"/>
      <c r="H53" s="2" t="n"/>
      <c r="I53" s="2" t="n"/>
      <c r="J53" s="2" t="n"/>
      <c r="K53" s="2" t="n"/>
      <c r="L53" s="2" t="n"/>
      <c r="M53" s="2" t="n"/>
      <c r="N53" s="2" t="n"/>
    </row>
    <row r="54">
      <c r="A54" s="2" t="n"/>
      <c r="B54" s="2" t="n"/>
      <c r="C54" s="2" t="n"/>
      <c r="D54" s="2" t="n"/>
      <c r="E54" s="2" t="n"/>
      <c r="F54" s="2" t="n"/>
      <c r="G54" s="2" t="n"/>
      <c r="H54" s="2" t="n"/>
      <c r="I54" s="2" t="n"/>
      <c r="J54" s="2" t="n"/>
      <c r="K54" s="2" t="n"/>
      <c r="L54" s="2" t="n"/>
      <c r="M54" s="2" t="n"/>
      <c r="N54" s="2" t="n"/>
    </row>
    <row r="55">
      <c r="A55" s="2" t="n"/>
      <c r="B55" s="2" t="n"/>
      <c r="C55" s="2" t="n"/>
      <c r="D55" s="2" t="n"/>
      <c r="E55" s="2" t="n"/>
      <c r="F55" s="2" t="n"/>
      <c r="G55" s="2" t="n"/>
      <c r="H55" s="2" t="n"/>
      <c r="I55" s="2" t="n"/>
      <c r="J55" s="2" t="n"/>
      <c r="K55" s="2" t="n"/>
      <c r="L55" s="2" t="n"/>
      <c r="M55" s="2" t="n"/>
      <c r="N55" s="2" t="n"/>
    </row>
    <row r="56">
      <c r="A56" s="2" t="n"/>
      <c r="B56" s="2" t="n"/>
      <c r="C56" s="2" t="n"/>
      <c r="D56" s="2" t="n"/>
      <c r="E56" s="2" t="n"/>
      <c r="F56" s="2" t="n"/>
      <c r="G56" s="2" t="n"/>
      <c r="H56" s="2" t="n"/>
      <c r="I56" s="2" t="n"/>
      <c r="J56" s="2" t="n"/>
      <c r="K56" s="2" t="n"/>
      <c r="L56" s="2" t="n"/>
      <c r="M56" s="2" t="n"/>
      <c r="N56" s="2" t="n"/>
    </row>
    <row r="57">
      <c r="A57" s="2" t="n"/>
      <c r="B57" s="2" t="n"/>
      <c r="C57" s="2" t="n"/>
      <c r="D57" s="2" t="n"/>
      <c r="E57" s="2" t="n"/>
      <c r="F57" s="2" t="n"/>
      <c r="G57" s="2" t="n"/>
      <c r="H57" s="2" t="n"/>
      <c r="I57" s="2" t="n"/>
      <c r="J57" s="2" t="n"/>
      <c r="K57" s="2" t="n"/>
      <c r="L57" s="2" t="n"/>
      <c r="M57" s="2" t="n"/>
      <c r="N57" s="2" t="n"/>
    </row>
    <row r="58">
      <c r="A58" s="2" t="n"/>
      <c r="B58" s="2" t="n"/>
      <c r="C58" s="2" t="n"/>
      <c r="D58" s="2" t="n"/>
      <c r="E58" s="2" t="n"/>
      <c r="F58" s="2" t="n"/>
      <c r="G58" s="2" t="n"/>
      <c r="H58" s="2" t="n"/>
      <c r="I58" s="2" t="n"/>
      <c r="J58" s="2" t="n"/>
      <c r="K58" s="2" t="n"/>
      <c r="L58" s="2" t="n"/>
      <c r="M58" s="2" t="n"/>
      <c r="N58" s="2" t="n"/>
    </row>
    <row r="59">
      <c r="A59" s="2" t="n"/>
      <c r="B59" s="2" t="n"/>
      <c r="C59" s="2" t="n"/>
      <c r="D59" s="2" t="n"/>
      <c r="E59" s="2" t="n"/>
      <c r="F59" s="2" t="n"/>
      <c r="G59" s="2" t="n"/>
      <c r="H59" s="2" t="n"/>
      <c r="I59" s="2" t="n"/>
      <c r="J59" s="2" t="n"/>
      <c r="K59" s="2" t="n"/>
      <c r="L59" s="2" t="n"/>
      <c r="M59" s="2" t="n"/>
      <c r="N59" s="2" t="n"/>
    </row>
    <row r="60">
      <c r="A60" s="2" t="n"/>
      <c r="B60" s="2" t="n"/>
      <c r="C60" s="2" t="n"/>
      <c r="D60" s="2" t="n"/>
      <c r="E60" s="2" t="n"/>
      <c r="F60" s="2" t="n"/>
      <c r="G60" s="2" t="n"/>
      <c r="H60" s="2" t="n"/>
      <c r="I60" s="2" t="n"/>
      <c r="J60" s="2" t="n"/>
      <c r="K60" s="2" t="n"/>
      <c r="L60" s="2" t="n"/>
      <c r="M60" s="2" t="n"/>
      <c r="N60" s="2" t="n"/>
    </row>
    <row r="61">
      <c r="A61" s="2" t="n"/>
      <c r="B61" s="2" t="n"/>
      <c r="C61" s="2" t="n"/>
      <c r="D61" s="2" t="n"/>
      <c r="E61" s="2" t="n"/>
      <c r="F61" s="2" t="n"/>
      <c r="G61" s="2" t="n"/>
      <c r="H61" s="2" t="n"/>
      <c r="I61" s="2" t="n"/>
      <c r="J61" s="2" t="n"/>
      <c r="K61" s="2" t="n"/>
      <c r="L61" s="2" t="n"/>
      <c r="M61" s="2" t="n"/>
      <c r="N61" s="2" t="n"/>
    </row>
    <row r="62">
      <c r="A62" s="2" t="n"/>
      <c r="B62" s="2" t="n"/>
      <c r="C62" s="2" t="n"/>
      <c r="D62" s="2" t="n"/>
      <c r="E62" s="2" t="n"/>
      <c r="F62" s="2" t="n"/>
      <c r="G62" s="2" t="n"/>
      <c r="H62" s="2" t="n"/>
      <c r="I62" s="2" t="n"/>
      <c r="J62" s="2" t="n"/>
      <c r="K62" s="2" t="n"/>
      <c r="L62" s="2" t="n"/>
      <c r="M62" s="2" t="n"/>
      <c r="N62" s="2" t="n"/>
    </row>
    <row r="63">
      <c r="A63" s="2" t="n"/>
      <c r="B63" s="2" t="n"/>
      <c r="C63" s="2" t="n"/>
      <c r="D63" s="2" t="n"/>
      <c r="E63" s="2" t="n"/>
      <c r="F63" s="2" t="n"/>
      <c r="G63" s="2" t="n"/>
      <c r="H63" s="2" t="n"/>
      <c r="I63" s="2" t="n"/>
      <c r="J63" s="2" t="n"/>
      <c r="K63" s="2" t="n"/>
      <c r="L63" s="2" t="n"/>
      <c r="M63" s="2" t="n"/>
      <c r="N63" s="2" t="n"/>
    </row>
    <row r="64">
      <c r="A64" s="2" t="n"/>
      <c r="B64" s="2" t="n"/>
      <c r="C64" s="2" t="n"/>
      <c r="D64" s="2" t="n"/>
      <c r="E64" s="2" t="n"/>
      <c r="F64" s="2" t="n"/>
      <c r="G64" s="2" t="n"/>
      <c r="H64" s="2" t="n"/>
      <c r="I64" s="2" t="n"/>
      <c r="J64" s="2" t="n"/>
      <c r="K64" s="2" t="n"/>
      <c r="L64" s="2" t="n"/>
      <c r="M64" s="2" t="n"/>
      <c r="N64" s="2" t="n"/>
    </row>
    <row r="65">
      <c r="A65" s="2" t="n"/>
      <c r="B65" s="2" t="n"/>
      <c r="C65" s="2" t="n"/>
      <c r="D65" s="2" t="n"/>
      <c r="E65" s="2" t="n"/>
      <c r="F65" s="2" t="n"/>
      <c r="G65" s="2" t="n"/>
      <c r="H65" s="2" t="n"/>
      <c r="I65" s="2" t="n"/>
      <c r="J65" s="2" t="n"/>
      <c r="K65" s="2" t="n"/>
      <c r="L65" s="2" t="n"/>
      <c r="M65" s="2" t="n"/>
      <c r="N65" s="2" t="n"/>
    </row>
    <row r="66">
      <c r="A66" s="2" t="n"/>
      <c r="B66" s="2" t="n"/>
      <c r="C66" s="2" t="n"/>
      <c r="D66" s="2" t="n"/>
      <c r="E66" s="2" t="n"/>
      <c r="F66" s="2" t="n"/>
      <c r="G66" s="2" t="n"/>
      <c r="H66" s="2" t="n"/>
      <c r="I66" s="2" t="n"/>
      <c r="J66" s="2" t="n"/>
      <c r="K66" s="2" t="n"/>
      <c r="L66" s="2" t="n"/>
      <c r="M66" s="2" t="n"/>
      <c r="N66" s="2" t="n"/>
    </row>
    <row r="67">
      <c r="A67" s="2" t="n"/>
      <c r="B67" s="2" t="n"/>
      <c r="C67" s="2" t="n"/>
      <c r="D67" s="2" t="n"/>
      <c r="E67" s="2" t="n"/>
      <c r="F67" s="2" t="n"/>
      <c r="G67" s="2" t="n"/>
      <c r="H67" s="2" t="n"/>
      <c r="I67" s="2" t="n"/>
      <c r="J67" s="2" t="n"/>
      <c r="K67" s="2" t="n"/>
      <c r="L67" s="2" t="n"/>
      <c r="M67" s="2" t="n"/>
      <c r="N67" s="2" t="n"/>
    </row>
    <row r="68">
      <c r="A68" s="2" t="n"/>
      <c r="B68" s="2" t="n"/>
      <c r="C68" s="2" t="n"/>
      <c r="D68" s="2" t="n"/>
      <c r="E68" s="2" t="n"/>
      <c r="F68" s="2" t="n"/>
      <c r="G68" s="2" t="n"/>
      <c r="H68" s="2" t="n"/>
      <c r="I68" s="2" t="n"/>
      <c r="J68" s="2" t="n"/>
      <c r="K68" s="2" t="n"/>
      <c r="L68" s="2" t="n"/>
      <c r="M68" s="2" t="n"/>
      <c r="N68" s="2" t="n"/>
    </row>
    <row r="69">
      <c r="A69" s="2" t="n"/>
      <c r="B69" s="2" t="n"/>
      <c r="C69" s="2" t="n"/>
      <c r="D69" s="2" t="n"/>
      <c r="E69" s="2" t="n"/>
      <c r="F69" s="2" t="n"/>
      <c r="G69" s="2" t="n"/>
      <c r="H69" s="2" t="n"/>
      <c r="I69" s="2" t="n"/>
      <c r="J69" s="2" t="n"/>
      <c r="K69" s="2" t="n"/>
      <c r="L69" s="2" t="n"/>
      <c r="M69" s="2" t="n"/>
      <c r="N69" s="2" t="n"/>
    </row>
    <row r="70">
      <c r="A70" s="2" t="n"/>
      <c r="B70" s="2" t="n"/>
      <c r="C70" s="2" t="n"/>
      <c r="D70" s="2" t="n"/>
      <c r="E70" s="2" t="n"/>
      <c r="F70" s="2" t="n"/>
      <c r="G70" s="2" t="n"/>
      <c r="H70" s="2" t="n"/>
      <c r="I70" s="2" t="n"/>
      <c r="J70" s="2" t="n"/>
      <c r="K70" s="2" t="n"/>
      <c r="L70" s="2" t="n"/>
      <c r="M70" s="2" t="n"/>
      <c r="N70" s="2" t="n"/>
    </row>
    <row r="71">
      <c r="A71" s="2" t="n"/>
      <c r="B71" s="2" t="n"/>
      <c r="C71" s="2" t="n"/>
      <c r="D71" s="2" t="n"/>
      <c r="E71" s="2" t="n"/>
      <c r="F71" s="2" t="n"/>
      <c r="G71" s="2" t="n"/>
      <c r="H71" s="2" t="n"/>
      <c r="I71" s="2" t="n"/>
      <c r="J71" s="2" t="n"/>
      <c r="K71" s="2" t="n"/>
      <c r="L71" s="2" t="n"/>
      <c r="M71" s="2" t="n"/>
      <c r="N71" s="2" t="n"/>
    </row>
    <row r="72">
      <c r="A72" s="2" t="n"/>
      <c r="B72" s="2" t="n"/>
      <c r="C72" s="2" t="n"/>
      <c r="D72" s="2" t="n"/>
      <c r="E72" s="2" t="n"/>
      <c r="F72" s="2" t="n"/>
      <c r="G72" s="2" t="n"/>
      <c r="H72" s="2" t="n"/>
      <c r="I72" s="2" t="n"/>
      <c r="J72" s="2" t="n"/>
      <c r="K72" s="2" t="n"/>
      <c r="L72" s="2" t="n"/>
      <c r="M72" s="2" t="n"/>
      <c r="N72" s="2" t="n"/>
    </row>
    <row r="73">
      <c r="A73" s="2" t="n"/>
      <c r="B73" s="2" t="n"/>
      <c r="C73" s="2" t="n"/>
      <c r="D73" s="2" t="n"/>
      <c r="E73" s="2" t="n"/>
      <c r="F73" s="2" t="n"/>
      <c r="G73" s="2" t="n"/>
      <c r="H73" s="2" t="n"/>
      <c r="I73" s="2" t="n"/>
      <c r="J73" s="2" t="n"/>
      <c r="K73" s="2" t="n"/>
      <c r="L73" s="2" t="n"/>
      <c r="M73" s="2" t="n"/>
      <c r="N73" s="2" t="n"/>
    </row>
    <row r="74">
      <c r="A74" s="2" t="n"/>
      <c r="B74" s="2" t="n"/>
      <c r="C74" s="2" t="n"/>
      <c r="D74" s="2" t="n"/>
      <c r="E74" s="2" t="n"/>
      <c r="F74" s="2" t="n"/>
      <c r="G74" s="2" t="n"/>
      <c r="H74" s="2" t="n"/>
      <c r="I74" s="2" t="n"/>
      <c r="J74" s="2" t="n"/>
      <c r="K74" s="2" t="n"/>
      <c r="L74" s="2" t="n"/>
      <c r="M74" s="2" t="n"/>
      <c r="N74" s="2" t="n"/>
    </row>
    <row r="75">
      <c r="A75" s="2" t="n"/>
      <c r="B75" s="2" t="n"/>
      <c r="C75" s="2" t="n"/>
      <c r="D75" s="2" t="n"/>
      <c r="E75" s="2" t="n"/>
      <c r="F75" s="2" t="n"/>
      <c r="G75" s="2" t="n"/>
      <c r="H75" s="2" t="n"/>
      <c r="I75" s="2" t="n"/>
      <c r="J75" s="2" t="n"/>
      <c r="K75" s="2" t="n"/>
      <c r="L75" s="2" t="n"/>
      <c r="M75" s="2" t="n"/>
      <c r="N75" s="2" t="n"/>
    </row>
    <row r="76">
      <c r="A76" s="2" t="n"/>
      <c r="B76" s="2" t="n"/>
      <c r="C76" s="2" t="n"/>
      <c r="D76" s="2" t="n"/>
      <c r="E76" s="2" t="n"/>
      <c r="F76" s="2" t="n"/>
      <c r="G76" s="2" t="n"/>
      <c r="H76" s="2" t="n"/>
      <c r="I76" s="2" t="n"/>
      <c r="J76" s="2" t="n"/>
      <c r="K76" s="2" t="n"/>
      <c r="L76" s="2" t="n"/>
      <c r="M76" s="2" t="n"/>
      <c r="N76" s="2" t="n"/>
    </row>
    <row r="77">
      <c r="A77" s="2" t="n"/>
      <c r="B77" s="2" t="n"/>
      <c r="C77" s="2" t="n"/>
      <c r="D77" s="2" t="n"/>
      <c r="E77" s="2" t="n"/>
      <c r="F77" s="2" t="n"/>
      <c r="G77" s="2" t="n"/>
      <c r="H77" s="2" t="n"/>
      <c r="I77" s="2" t="n"/>
      <c r="J77" s="2" t="n"/>
      <c r="K77" s="2" t="n"/>
      <c r="L77" s="2" t="n"/>
      <c r="M77" s="2" t="n"/>
      <c r="N77" s="2" t="n"/>
    </row>
    <row r="78">
      <c r="A78" s="2" t="n"/>
      <c r="B78" s="2" t="n"/>
      <c r="C78" s="2" t="n"/>
      <c r="D78" s="2" t="n"/>
      <c r="E78" s="2" t="n"/>
      <c r="F78" s="2" t="n"/>
      <c r="G78" s="2" t="n"/>
      <c r="H78" s="2" t="n"/>
      <c r="I78" s="2" t="n"/>
      <c r="J78" s="2" t="n"/>
      <c r="K78" s="2" t="n"/>
      <c r="L78" s="2" t="n"/>
      <c r="M78" s="2" t="n"/>
      <c r="N78" s="2" t="n"/>
    </row>
    <row r="79">
      <c r="A79" s="2" t="n"/>
      <c r="B79" s="2" t="n"/>
      <c r="C79" s="2" t="n"/>
      <c r="D79" s="2" t="n"/>
      <c r="E79" s="2" t="n"/>
      <c r="F79" s="2" t="n"/>
      <c r="G79" s="2" t="n"/>
      <c r="H79" s="2" t="n"/>
      <c r="I79" s="2" t="n"/>
      <c r="J79" s="2" t="n"/>
      <c r="K79" s="2" t="n"/>
      <c r="L79" s="2" t="n"/>
      <c r="M79" s="2" t="n"/>
      <c r="N79" s="2" t="n"/>
    </row>
    <row r="80">
      <c r="A80" s="2" t="n"/>
      <c r="B80" s="2" t="n"/>
      <c r="C80" s="2" t="n"/>
      <c r="D80" s="2" t="n"/>
      <c r="E80" s="2" t="n"/>
      <c r="F80" s="2" t="n"/>
      <c r="G80" s="2" t="n"/>
      <c r="H80" s="2" t="n"/>
      <c r="I80" s="2" t="n"/>
      <c r="J80" s="2" t="n"/>
      <c r="K80" s="2" t="n"/>
      <c r="L80" s="2" t="n"/>
      <c r="M80" s="2" t="n"/>
      <c r="N80" s="2" t="n"/>
    </row>
  </sheetData>
  <mergeCells count="5">
    <mergeCell ref="A10:F10"/>
    <mergeCell ref="A1:G1"/>
    <mergeCell ref="A3:F3"/>
    <mergeCell ref="A20:F20"/>
    <mergeCell ref="A14:D14"/>
  </mergeCells>
  <pageMargins left="0.75" right="0.75" top="1" bottom="1" header="0.5" footer="0.5"/>
</worksheet>
</file>

<file path=xl/worksheets/sheet5.xml><?xml version="1.0" encoding="utf-8"?>
<worksheet xmlns="http://schemas.openxmlformats.org/spreadsheetml/2006/main">
  <sheetPr>
    <tabColor rgb="00E03E3E"/>
    <outlinePr summaryBelow="1" summaryRight="1"/>
    <pageSetUpPr/>
  </sheetPr>
  <dimension ref="A1:H80"/>
  <sheetViews>
    <sheetView showGridLines="0" workbookViewId="0">
      <selection activeCell="A1" sqref="A1"/>
    </sheetView>
  </sheetViews>
  <sheetFormatPr baseColWidth="8" defaultRowHeight="15"/>
  <cols>
    <col width="16" customWidth="1" min="1" max="1"/>
    <col width="40" customWidth="1" min="2" max="2"/>
    <col width="14" customWidth="1" min="3" max="3"/>
    <col width="12" customWidth="1" min="4" max="4"/>
    <col width="12" customWidth="1" min="5" max="5"/>
    <col width="30" customWidth="1" min="6" max="6"/>
    <col width="20" customWidth="1" min="7" max="7"/>
    <col width="12" customWidth="1" min="8" max="8"/>
  </cols>
  <sheetData>
    <row r="1" ht="24" customHeight="1">
      <c r="A1" s="42" t="inlineStr">
        <is>
          <t>ZM — RISK REGISTER</t>
        </is>
      </c>
      <c r="H1" s="2" t="n"/>
    </row>
    <row r="2">
      <c r="A2" s="2" t="n"/>
      <c r="B2" s="2" t="n"/>
      <c r="C2" s="2" t="n"/>
      <c r="D2" s="2" t="n"/>
      <c r="E2" s="2" t="n"/>
      <c r="F2" s="2" t="n"/>
      <c r="G2" s="2" t="n"/>
      <c r="H2" s="2" t="n"/>
    </row>
    <row r="3">
      <c r="A3" s="6" t="inlineStr">
        <is>
          <t>THESIS-KILLER RISK</t>
        </is>
      </c>
      <c r="H3" s="2" t="n"/>
    </row>
    <row r="4" ht="40" customHeight="1">
      <c r="A4" s="43" t="inlineStr">
        <is>
          <t>Teams Bundling Kills Core Video: Microsoft Teams, included at zero marginal cost in every M365 enterprise seat, is the single largest competitive threat to Zoom's core video communications product. With M365 penetration exceeding 400 million paid seats globally, every enterprise renewal cycle is a potential displacement event where the CFO asks why the company pays separately for Zoom when Teams i</t>
        </is>
      </c>
      <c r="H4" s="2" t="n"/>
    </row>
    <row r="5">
      <c r="H5" s="2" t="n"/>
    </row>
    <row r="6">
      <c r="A6" s="2" t="n"/>
      <c r="B6" s="2" t="n"/>
      <c r="C6" s="2" t="n"/>
      <c r="D6" s="2" t="n"/>
      <c r="E6" s="2" t="n"/>
      <c r="F6" s="2" t="n"/>
      <c r="G6" s="2" t="n"/>
      <c r="H6" s="2" t="n"/>
    </row>
    <row r="7">
      <c r="A7" s="6" t="inlineStr">
        <is>
          <t>KEY RISKS &amp; MITIGANTS</t>
        </is>
      </c>
      <c r="H7" s="2" t="n"/>
    </row>
    <row r="8">
      <c r="A8" s="7" t="inlineStr">
        <is>
          <t>#</t>
        </is>
      </c>
      <c r="B8" s="7" t="inlineStr">
        <is>
          <t>Risk Name</t>
        </is>
      </c>
      <c r="C8" s="7" t="inlineStr">
        <is>
          <t>Risk</t>
        </is>
      </c>
      <c r="D8" s="7" t="inlineStr">
        <is>
          <t>Probability</t>
        </is>
      </c>
      <c r="E8" s="7" t="inlineStr">
        <is>
          <t>Price Impact %</t>
        </is>
      </c>
      <c r="F8" s="7" t="inlineStr">
        <is>
          <t>Mitigant</t>
        </is>
      </c>
      <c r="G8" s="7" t="inlineStr">
        <is>
          <t>Early Warning</t>
        </is>
      </c>
      <c r="H8" s="2" t="n"/>
    </row>
    <row r="9" ht="32" customHeight="1">
      <c r="A9" s="44" t="inlineStr">
        <is>
          <t>★ 1</t>
        </is>
      </c>
      <c r="B9" s="45" t="inlineStr">
        <is>
          <t>Teams Bundling Kills</t>
        </is>
      </c>
      <c r="C9" s="45" t="inlineStr">
        <is>
          <t>Microsoft Teams, included at zero marginal cost in every M365 enterprise seat, i</t>
        </is>
      </c>
      <c r="D9" s="45" t="inlineStr">
        <is>
          <t>H</t>
        </is>
      </c>
      <c r="E9" s="45" t="inlineStr">
        <is>
          <t>-35%</t>
        </is>
      </c>
      <c r="F9" s="45" t="inlineStr">
        <is>
          <t>Zoom retains significant advantages in call quality, reliabi</t>
        </is>
      </c>
      <c r="G9" s="45" t="inlineStr">
        <is>
          <t xml:space="preserve">Enterprise customer count declining for </t>
        </is>
      </c>
      <c r="H9" s="2" t="n"/>
    </row>
    <row r="10" ht="32" customHeight="1">
      <c r="A10" s="8" t="inlineStr">
        <is>
          <t>2</t>
        </is>
      </c>
      <c r="B10" s="9" t="inlineStr">
        <is>
          <t xml:space="preserve">AI Disintermediates </t>
        </is>
      </c>
      <c r="C10" s="9" t="inlineStr">
        <is>
          <t>The emergence of AI-native communication platforms represents a medium-probabili</t>
        </is>
      </c>
      <c r="D10" s="9" t="inlineStr">
        <is>
          <t>M</t>
        </is>
      </c>
      <c r="E10" s="9" t="inlineStr">
        <is>
          <t>-25%</t>
        </is>
      </c>
      <c r="F10" s="9" t="inlineStr">
        <is>
          <t>Zoom's brand recognition and installed base of hundreds of m</t>
        </is>
      </c>
      <c r="G10" s="9" t="inlineStr">
        <is>
          <t>Major enterprise accounts publicly annou</t>
        </is>
      </c>
      <c r="H10" s="2" t="n"/>
    </row>
    <row r="11" ht="32" customHeight="1">
      <c r="A11" s="10" t="inlineStr">
        <is>
          <t>3</t>
        </is>
      </c>
      <c r="B11" s="11" t="inlineStr">
        <is>
          <t>Revenue Stagnation T</t>
        </is>
      </c>
      <c r="C11" s="11" t="inlineStr">
        <is>
          <t>Zoom's 4.4% YoY revenue growth is well below the SaaS median and suggests the co</t>
        </is>
      </c>
      <c r="D11" s="11" t="inlineStr">
        <is>
          <t>M</t>
        </is>
      </c>
      <c r="E11" s="11" t="inlineStr">
        <is>
          <t>-20%</t>
        </is>
      </c>
      <c r="F11" s="11" t="inlineStr">
        <is>
          <t>Zoom's exceptional FCF conversion of 179.8% and expanding ma</t>
        </is>
      </c>
      <c r="G11" s="11" t="inlineStr">
        <is>
          <t xml:space="preserve">Sequential quarterly revenue decline or </t>
        </is>
      </c>
      <c r="H11" s="2" t="n"/>
    </row>
    <row r="12">
      <c r="A12" s="2" t="n"/>
      <c r="B12" s="2" t="n"/>
      <c r="C12" s="2" t="n"/>
      <c r="D12" s="2" t="n"/>
      <c r="E12" s="2" t="n"/>
      <c r="F12" s="2" t="n"/>
      <c r="G12" s="2" t="n"/>
      <c r="H12" s="2" t="n"/>
    </row>
    <row r="13">
      <c r="A13" s="6" t="inlineStr">
        <is>
          <t>WHAT WOULD MAKE US WRONG</t>
        </is>
      </c>
      <c r="H13" s="2" t="n"/>
    </row>
    <row r="14">
      <c r="A14" s="46" t="inlineStr">
        <is>
          <t xml:space="preserve">• {'condition': "If Zoom's revenue growth decelerates to 0% or turns negative for two consecutive quarters, indicating the core business is in structural decline rather than stabilizing at a low-growth </t>
        </is>
      </c>
      <c r="H14" s="2" t="n"/>
    </row>
    <row r="15">
      <c r="A15" s="46" t="inlineStr">
        <is>
          <t>• {'condition': 'If Zoom discloses net revenue retention below 95%, confirming that existing customers are actively contracting or churning rather than expanding → exit long position.', 'how_to_test': '</t>
        </is>
      </c>
      <c r="H15" s="2" t="n"/>
    </row>
    <row r="16">
      <c r="A16" s="46" t="inlineStr">
        <is>
          <t>• {'condition': "If free cash flow margin contracts below 25% for two consecutive quarters, indicating the business model's cash generation advantage — the primary support for the valuation floor — is d</t>
        </is>
      </c>
      <c r="H16" s="2" t="n"/>
    </row>
    <row r="17">
      <c r="A17" s="2" t="n"/>
      <c r="B17" s="2" t="n"/>
      <c r="C17" s="2" t="n"/>
      <c r="D17" s="2" t="n"/>
      <c r="E17" s="2" t="n"/>
      <c r="F17" s="2" t="n"/>
      <c r="G17" s="2" t="n"/>
      <c r="H17" s="2" t="n"/>
    </row>
    <row r="18">
      <c r="A18" s="2" t="n"/>
      <c r="B18" s="2" t="n"/>
      <c r="C18" s="2" t="n"/>
      <c r="D18" s="2" t="n"/>
      <c r="E18" s="2" t="n"/>
      <c r="F18" s="2" t="n"/>
      <c r="G18" s="2" t="n"/>
      <c r="H18" s="2" t="n"/>
    </row>
    <row r="19">
      <c r="A19" s="2" t="n"/>
      <c r="B19" s="2" t="n"/>
      <c r="C19" s="2" t="n"/>
      <c r="D19" s="2" t="n"/>
      <c r="E19" s="2" t="n"/>
      <c r="F19" s="2" t="n"/>
      <c r="G19" s="2" t="n"/>
      <c r="H19" s="2" t="n"/>
    </row>
    <row r="20">
      <c r="A20" s="2" t="n"/>
      <c r="B20" s="2" t="n"/>
      <c r="C20" s="2" t="n"/>
      <c r="D20" s="2" t="n"/>
      <c r="E20" s="2" t="n"/>
      <c r="F20" s="2" t="n"/>
      <c r="G20" s="2" t="n"/>
      <c r="H20" s="2" t="n"/>
    </row>
    <row r="21">
      <c r="A21" s="2" t="n"/>
      <c r="B21" s="2" t="n"/>
      <c r="C21" s="2" t="n"/>
      <c r="D21" s="2" t="n"/>
      <c r="E21" s="2" t="n"/>
      <c r="F21" s="2" t="n"/>
      <c r="G21" s="2" t="n"/>
      <c r="H21" s="2" t="n"/>
    </row>
    <row r="22">
      <c r="A22" s="2" t="n"/>
      <c r="B22" s="2" t="n"/>
      <c r="C22" s="2" t="n"/>
      <c r="D22" s="2" t="n"/>
      <c r="E22" s="2" t="n"/>
      <c r="F22" s="2" t="n"/>
      <c r="G22" s="2" t="n"/>
      <c r="H22" s="2" t="n"/>
    </row>
    <row r="23">
      <c r="A23" s="2" t="n"/>
      <c r="B23" s="2" t="n"/>
      <c r="C23" s="2" t="n"/>
      <c r="D23" s="2" t="n"/>
      <c r="E23" s="2" t="n"/>
      <c r="F23" s="2" t="n"/>
      <c r="G23" s="2" t="n"/>
      <c r="H23" s="2" t="n"/>
    </row>
    <row r="24">
      <c r="A24" s="2" t="n"/>
      <c r="B24" s="2" t="n"/>
      <c r="C24" s="2" t="n"/>
      <c r="D24" s="2" t="n"/>
      <c r="E24" s="2" t="n"/>
      <c r="F24" s="2" t="n"/>
      <c r="G24" s="2" t="n"/>
      <c r="H24" s="2" t="n"/>
    </row>
    <row r="25">
      <c r="A25" s="2" t="n"/>
      <c r="B25" s="2" t="n"/>
      <c r="C25" s="2" t="n"/>
      <c r="D25" s="2" t="n"/>
      <c r="E25" s="2" t="n"/>
      <c r="F25" s="2" t="n"/>
      <c r="G25" s="2" t="n"/>
      <c r="H25" s="2" t="n"/>
    </row>
    <row r="26">
      <c r="A26" s="2" t="n"/>
      <c r="B26" s="2" t="n"/>
      <c r="C26" s="2" t="n"/>
      <c r="D26" s="2" t="n"/>
      <c r="E26" s="2" t="n"/>
      <c r="F26" s="2" t="n"/>
      <c r="G26" s="2" t="n"/>
      <c r="H26" s="2" t="n"/>
    </row>
    <row r="27">
      <c r="A27" s="2" t="n"/>
      <c r="B27" s="2" t="n"/>
      <c r="C27" s="2" t="n"/>
      <c r="D27" s="2" t="n"/>
      <c r="E27" s="2" t="n"/>
      <c r="F27" s="2" t="n"/>
      <c r="G27" s="2" t="n"/>
      <c r="H27" s="2" t="n"/>
    </row>
    <row r="28">
      <c r="A28" s="2" t="n"/>
      <c r="B28" s="2" t="n"/>
      <c r="C28" s="2" t="n"/>
      <c r="D28" s="2" t="n"/>
      <c r="E28" s="2" t="n"/>
      <c r="F28" s="2" t="n"/>
      <c r="G28" s="2" t="n"/>
      <c r="H28" s="2" t="n"/>
    </row>
    <row r="29">
      <c r="A29" s="2" t="n"/>
      <c r="B29" s="2" t="n"/>
      <c r="C29" s="2" t="n"/>
      <c r="D29" s="2" t="n"/>
      <c r="E29" s="2" t="n"/>
      <c r="F29" s="2" t="n"/>
      <c r="G29" s="2" t="n"/>
      <c r="H29" s="2" t="n"/>
    </row>
    <row r="30">
      <c r="A30" s="2" t="n"/>
      <c r="B30" s="2" t="n"/>
      <c r="C30" s="2" t="n"/>
      <c r="D30" s="2" t="n"/>
      <c r="E30" s="2" t="n"/>
      <c r="F30" s="2" t="n"/>
      <c r="G30" s="2" t="n"/>
      <c r="H30" s="2" t="n"/>
    </row>
    <row r="31">
      <c r="A31" s="2" t="n"/>
      <c r="B31" s="2" t="n"/>
      <c r="C31" s="2" t="n"/>
      <c r="D31" s="2" t="n"/>
      <c r="E31" s="2" t="n"/>
      <c r="F31" s="2" t="n"/>
      <c r="G31" s="2" t="n"/>
      <c r="H31" s="2" t="n"/>
    </row>
    <row r="32">
      <c r="A32" s="2" t="n"/>
      <c r="B32" s="2" t="n"/>
      <c r="C32" s="2" t="n"/>
      <c r="D32" s="2" t="n"/>
      <c r="E32" s="2" t="n"/>
      <c r="F32" s="2" t="n"/>
      <c r="G32" s="2" t="n"/>
      <c r="H32" s="2" t="n"/>
    </row>
    <row r="33">
      <c r="A33" s="2" t="n"/>
      <c r="B33" s="2" t="n"/>
      <c r="C33" s="2" t="n"/>
      <c r="D33" s="2" t="n"/>
      <c r="E33" s="2" t="n"/>
      <c r="F33" s="2" t="n"/>
      <c r="G33" s="2" t="n"/>
      <c r="H33" s="2" t="n"/>
    </row>
    <row r="34">
      <c r="A34" s="2" t="n"/>
      <c r="B34" s="2" t="n"/>
      <c r="C34" s="2" t="n"/>
      <c r="D34" s="2" t="n"/>
      <c r="E34" s="2" t="n"/>
      <c r="F34" s="2" t="n"/>
      <c r="G34" s="2" t="n"/>
      <c r="H34" s="2" t="n"/>
    </row>
    <row r="35">
      <c r="A35" s="2" t="n"/>
      <c r="B35" s="2" t="n"/>
      <c r="C35" s="2" t="n"/>
      <c r="D35" s="2" t="n"/>
      <c r="E35" s="2" t="n"/>
      <c r="F35" s="2" t="n"/>
      <c r="G35" s="2" t="n"/>
      <c r="H35" s="2" t="n"/>
    </row>
    <row r="36">
      <c r="A36" s="2" t="n"/>
      <c r="B36" s="2" t="n"/>
      <c r="C36" s="2" t="n"/>
      <c r="D36" s="2" t="n"/>
      <c r="E36" s="2" t="n"/>
      <c r="F36" s="2" t="n"/>
      <c r="G36" s="2" t="n"/>
      <c r="H36" s="2" t="n"/>
    </row>
    <row r="37">
      <c r="A37" s="2" t="n"/>
      <c r="B37" s="2" t="n"/>
      <c r="C37" s="2" t="n"/>
      <c r="D37" s="2" t="n"/>
      <c r="E37" s="2" t="n"/>
      <c r="F37" s="2" t="n"/>
      <c r="G37" s="2" t="n"/>
      <c r="H37" s="2" t="n"/>
    </row>
    <row r="38">
      <c r="A38" s="2" t="n"/>
      <c r="B38" s="2" t="n"/>
      <c r="C38" s="2" t="n"/>
      <c r="D38" s="2" t="n"/>
      <c r="E38" s="2" t="n"/>
      <c r="F38" s="2" t="n"/>
      <c r="G38" s="2" t="n"/>
      <c r="H38" s="2" t="n"/>
    </row>
    <row r="39">
      <c r="A39" s="2" t="n"/>
      <c r="B39" s="2" t="n"/>
      <c r="C39" s="2" t="n"/>
      <c r="D39" s="2" t="n"/>
      <c r="E39" s="2" t="n"/>
      <c r="F39" s="2" t="n"/>
      <c r="G39" s="2" t="n"/>
      <c r="H39" s="2" t="n"/>
    </row>
    <row r="40">
      <c r="A40" s="2" t="n"/>
      <c r="B40" s="2" t="n"/>
      <c r="C40" s="2" t="n"/>
      <c r="D40" s="2" t="n"/>
      <c r="E40" s="2" t="n"/>
      <c r="F40" s="2" t="n"/>
      <c r="G40" s="2" t="n"/>
      <c r="H40" s="2" t="n"/>
    </row>
    <row r="41">
      <c r="A41" s="2" t="n"/>
      <c r="B41" s="2" t="n"/>
      <c r="C41" s="2" t="n"/>
      <c r="D41" s="2" t="n"/>
      <c r="E41" s="2" t="n"/>
      <c r="F41" s="2" t="n"/>
      <c r="G41" s="2" t="n"/>
      <c r="H41" s="2" t="n"/>
    </row>
    <row r="42">
      <c r="A42" s="2" t="n"/>
      <c r="B42" s="2" t="n"/>
      <c r="C42" s="2" t="n"/>
      <c r="D42" s="2" t="n"/>
      <c r="E42" s="2" t="n"/>
      <c r="F42" s="2" t="n"/>
      <c r="G42" s="2" t="n"/>
      <c r="H42" s="2" t="n"/>
    </row>
    <row r="43">
      <c r="A43" s="2" t="n"/>
      <c r="B43" s="2" t="n"/>
      <c r="C43" s="2" t="n"/>
      <c r="D43" s="2" t="n"/>
      <c r="E43" s="2" t="n"/>
      <c r="F43" s="2" t="n"/>
      <c r="G43" s="2" t="n"/>
      <c r="H43" s="2" t="n"/>
    </row>
    <row r="44">
      <c r="A44" s="2" t="n"/>
      <c r="B44" s="2" t="n"/>
      <c r="C44" s="2" t="n"/>
      <c r="D44" s="2" t="n"/>
      <c r="E44" s="2" t="n"/>
      <c r="F44" s="2" t="n"/>
      <c r="G44" s="2" t="n"/>
      <c r="H44" s="2" t="n"/>
    </row>
    <row r="45">
      <c r="A45" s="2" t="n"/>
      <c r="B45" s="2" t="n"/>
      <c r="C45" s="2" t="n"/>
      <c r="D45" s="2" t="n"/>
      <c r="E45" s="2" t="n"/>
      <c r="F45" s="2" t="n"/>
      <c r="G45" s="2" t="n"/>
      <c r="H45" s="2" t="n"/>
    </row>
    <row r="46">
      <c r="A46" s="2" t="n"/>
      <c r="B46" s="2" t="n"/>
      <c r="C46" s="2" t="n"/>
      <c r="D46" s="2" t="n"/>
      <c r="E46" s="2" t="n"/>
      <c r="F46" s="2" t="n"/>
      <c r="G46" s="2" t="n"/>
      <c r="H46" s="2" t="n"/>
    </row>
    <row r="47">
      <c r="A47" s="2" t="n"/>
      <c r="B47" s="2" t="n"/>
      <c r="C47" s="2" t="n"/>
      <c r="D47" s="2" t="n"/>
      <c r="E47" s="2" t="n"/>
      <c r="F47" s="2" t="n"/>
      <c r="G47" s="2" t="n"/>
      <c r="H47" s="2" t="n"/>
    </row>
    <row r="48">
      <c r="A48" s="2" t="n"/>
      <c r="B48" s="2" t="n"/>
      <c r="C48" s="2" t="n"/>
      <c r="D48" s="2" t="n"/>
      <c r="E48" s="2" t="n"/>
      <c r="F48" s="2" t="n"/>
      <c r="G48" s="2" t="n"/>
      <c r="H48" s="2" t="n"/>
    </row>
    <row r="49">
      <c r="A49" s="2" t="n"/>
      <c r="B49" s="2" t="n"/>
      <c r="C49" s="2" t="n"/>
      <c r="D49" s="2" t="n"/>
      <c r="E49" s="2" t="n"/>
      <c r="F49" s="2" t="n"/>
      <c r="G49" s="2" t="n"/>
      <c r="H49" s="2" t="n"/>
    </row>
    <row r="50">
      <c r="A50" s="2" t="n"/>
      <c r="B50" s="2" t="n"/>
      <c r="C50" s="2" t="n"/>
      <c r="D50" s="2" t="n"/>
      <c r="E50" s="2" t="n"/>
      <c r="F50" s="2" t="n"/>
      <c r="G50" s="2" t="n"/>
      <c r="H50" s="2" t="n"/>
    </row>
    <row r="51">
      <c r="A51" s="2" t="n"/>
      <c r="B51" s="2" t="n"/>
      <c r="C51" s="2" t="n"/>
      <c r="D51" s="2" t="n"/>
      <c r="E51" s="2" t="n"/>
      <c r="F51" s="2" t="n"/>
      <c r="G51" s="2" t="n"/>
      <c r="H51" s="2" t="n"/>
    </row>
    <row r="52">
      <c r="A52" s="2" t="n"/>
      <c r="B52" s="2" t="n"/>
      <c r="C52" s="2" t="n"/>
      <c r="D52" s="2" t="n"/>
      <c r="E52" s="2" t="n"/>
      <c r="F52" s="2" t="n"/>
      <c r="G52" s="2" t="n"/>
      <c r="H52" s="2" t="n"/>
    </row>
    <row r="53">
      <c r="A53" s="2" t="n"/>
      <c r="B53" s="2" t="n"/>
      <c r="C53" s="2" t="n"/>
      <c r="D53" s="2" t="n"/>
      <c r="E53" s="2" t="n"/>
      <c r="F53" s="2" t="n"/>
      <c r="G53" s="2" t="n"/>
      <c r="H53" s="2" t="n"/>
    </row>
    <row r="54">
      <c r="A54" s="2" t="n"/>
      <c r="B54" s="2" t="n"/>
      <c r="C54" s="2" t="n"/>
      <c r="D54" s="2" t="n"/>
      <c r="E54" s="2" t="n"/>
      <c r="F54" s="2" t="n"/>
      <c r="G54" s="2" t="n"/>
      <c r="H54" s="2" t="n"/>
    </row>
    <row r="55">
      <c r="A55" s="2" t="n"/>
      <c r="B55" s="2" t="n"/>
      <c r="C55" s="2" t="n"/>
      <c r="D55" s="2" t="n"/>
      <c r="E55" s="2" t="n"/>
      <c r="F55" s="2" t="n"/>
      <c r="G55" s="2" t="n"/>
      <c r="H55" s="2" t="n"/>
    </row>
    <row r="56">
      <c r="A56" s="2" t="n"/>
      <c r="B56" s="2" t="n"/>
      <c r="C56" s="2" t="n"/>
      <c r="D56" s="2" t="n"/>
      <c r="E56" s="2" t="n"/>
      <c r="F56" s="2" t="n"/>
      <c r="G56" s="2" t="n"/>
      <c r="H56" s="2" t="n"/>
    </row>
    <row r="57">
      <c r="A57" s="2" t="n"/>
      <c r="B57" s="2" t="n"/>
      <c r="C57" s="2" t="n"/>
      <c r="D57" s="2" t="n"/>
      <c r="E57" s="2" t="n"/>
      <c r="F57" s="2" t="n"/>
      <c r="G57" s="2" t="n"/>
      <c r="H57" s="2" t="n"/>
    </row>
    <row r="58">
      <c r="A58" s="2" t="n"/>
      <c r="B58" s="2" t="n"/>
      <c r="C58" s="2" t="n"/>
      <c r="D58" s="2" t="n"/>
      <c r="E58" s="2" t="n"/>
      <c r="F58" s="2" t="n"/>
      <c r="G58" s="2" t="n"/>
      <c r="H58" s="2" t="n"/>
    </row>
    <row r="59">
      <c r="A59" s="2" t="n"/>
      <c r="B59" s="2" t="n"/>
      <c r="C59" s="2" t="n"/>
      <c r="D59" s="2" t="n"/>
      <c r="E59" s="2" t="n"/>
      <c r="F59" s="2" t="n"/>
      <c r="G59" s="2" t="n"/>
      <c r="H59" s="2" t="n"/>
    </row>
    <row r="60">
      <c r="A60" s="2" t="n"/>
      <c r="B60" s="2" t="n"/>
      <c r="C60" s="2" t="n"/>
      <c r="D60" s="2" t="n"/>
      <c r="E60" s="2" t="n"/>
      <c r="F60" s="2" t="n"/>
      <c r="G60" s="2" t="n"/>
      <c r="H60" s="2" t="n"/>
    </row>
    <row r="61">
      <c r="A61" s="2" t="n"/>
      <c r="B61" s="2" t="n"/>
      <c r="C61" s="2" t="n"/>
      <c r="D61" s="2" t="n"/>
      <c r="E61" s="2" t="n"/>
      <c r="F61" s="2" t="n"/>
      <c r="G61" s="2" t="n"/>
      <c r="H61" s="2" t="n"/>
    </row>
    <row r="62">
      <c r="A62" s="2" t="n"/>
      <c r="B62" s="2" t="n"/>
      <c r="C62" s="2" t="n"/>
      <c r="D62" s="2" t="n"/>
      <c r="E62" s="2" t="n"/>
      <c r="F62" s="2" t="n"/>
      <c r="G62" s="2" t="n"/>
      <c r="H62" s="2" t="n"/>
    </row>
    <row r="63">
      <c r="A63" s="2" t="n"/>
      <c r="B63" s="2" t="n"/>
      <c r="C63" s="2" t="n"/>
      <c r="D63" s="2" t="n"/>
      <c r="E63" s="2" t="n"/>
      <c r="F63" s="2" t="n"/>
      <c r="G63" s="2" t="n"/>
      <c r="H63" s="2" t="n"/>
    </row>
    <row r="64">
      <c r="A64" s="2" t="n"/>
      <c r="B64" s="2" t="n"/>
      <c r="C64" s="2" t="n"/>
      <c r="D64" s="2" t="n"/>
      <c r="E64" s="2" t="n"/>
      <c r="F64" s="2" t="n"/>
      <c r="G64" s="2" t="n"/>
      <c r="H64" s="2" t="n"/>
    </row>
    <row r="65">
      <c r="A65" s="2" t="n"/>
      <c r="B65" s="2" t="n"/>
      <c r="C65" s="2" t="n"/>
      <c r="D65" s="2" t="n"/>
      <c r="E65" s="2" t="n"/>
      <c r="F65" s="2" t="n"/>
      <c r="G65" s="2" t="n"/>
      <c r="H65" s="2" t="n"/>
    </row>
    <row r="66">
      <c r="A66" s="2" t="n"/>
      <c r="B66" s="2" t="n"/>
      <c r="C66" s="2" t="n"/>
      <c r="D66" s="2" t="n"/>
      <c r="E66" s="2" t="n"/>
      <c r="F66" s="2" t="n"/>
      <c r="G66" s="2" t="n"/>
      <c r="H66" s="2" t="n"/>
    </row>
    <row r="67">
      <c r="A67" s="2" t="n"/>
      <c r="B67" s="2" t="n"/>
      <c r="C67" s="2" t="n"/>
      <c r="D67" s="2" t="n"/>
      <c r="E67" s="2" t="n"/>
      <c r="F67" s="2" t="n"/>
      <c r="G67" s="2" t="n"/>
      <c r="H67" s="2" t="n"/>
    </row>
    <row r="68">
      <c r="A68" s="2" t="n"/>
      <c r="B68" s="2" t="n"/>
      <c r="C68" s="2" t="n"/>
      <c r="D68" s="2" t="n"/>
      <c r="E68" s="2" t="n"/>
      <c r="F68" s="2" t="n"/>
      <c r="G68" s="2" t="n"/>
      <c r="H68" s="2" t="n"/>
    </row>
    <row r="69">
      <c r="A69" s="2" t="n"/>
      <c r="B69" s="2" t="n"/>
      <c r="C69" s="2" t="n"/>
      <c r="D69" s="2" t="n"/>
      <c r="E69" s="2" t="n"/>
      <c r="F69" s="2" t="n"/>
      <c r="G69" s="2" t="n"/>
      <c r="H69" s="2" t="n"/>
    </row>
    <row r="70">
      <c r="A70" s="2" t="n"/>
      <c r="B70" s="2" t="n"/>
      <c r="C70" s="2" t="n"/>
      <c r="D70" s="2" t="n"/>
      <c r="E70" s="2" t="n"/>
      <c r="F70" s="2" t="n"/>
      <c r="G70" s="2" t="n"/>
      <c r="H70" s="2" t="n"/>
    </row>
    <row r="71">
      <c r="A71" s="2" t="n"/>
      <c r="B71" s="2" t="n"/>
      <c r="C71" s="2" t="n"/>
      <c r="D71" s="2" t="n"/>
      <c r="E71" s="2" t="n"/>
      <c r="F71" s="2" t="n"/>
      <c r="G71" s="2" t="n"/>
      <c r="H71" s="2" t="n"/>
    </row>
    <row r="72">
      <c r="A72" s="2" t="n"/>
      <c r="B72" s="2" t="n"/>
      <c r="C72" s="2" t="n"/>
      <c r="D72" s="2" t="n"/>
      <c r="E72" s="2" t="n"/>
      <c r="F72" s="2" t="n"/>
      <c r="G72" s="2" t="n"/>
      <c r="H72" s="2" t="n"/>
    </row>
    <row r="73">
      <c r="A73" s="2" t="n"/>
      <c r="B73" s="2" t="n"/>
      <c r="C73" s="2" t="n"/>
      <c r="D73" s="2" t="n"/>
      <c r="E73" s="2" t="n"/>
      <c r="F73" s="2" t="n"/>
      <c r="G73" s="2" t="n"/>
      <c r="H73" s="2" t="n"/>
    </row>
    <row r="74">
      <c r="A74" s="2" t="n"/>
      <c r="B74" s="2" t="n"/>
      <c r="C74" s="2" t="n"/>
      <c r="D74" s="2" t="n"/>
      <c r="E74" s="2" t="n"/>
      <c r="F74" s="2" t="n"/>
      <c r="G74" s="2" t="n"/>
      <c r="H74" s="2" t="n"/>
    </row>
    <row r="75">
      <c r="A75" s="2" t="n"/>
      <c r="B75" s="2" t="n"/>
      <c r="C75" s="2" t="n"/>
      <c r="D75" s="2" t="n"/>
      <c r="E75" s="2" t="n"/>
      <c r="F75" s="2" t="n"/>
      <c r="G75" s="2" t="n"/>
      <c r="H75" s="2" t="n"/>
    </row>
    <row r="76">
      <c r="A76" s="2" t="n"/>
      <c r="B76" s="2" t="n"/>
      <c r="C76" s="2" t="n"/>
      <c r="D76" s="2" t="n"/>
      <c r="E76" s="2" t="n"/>
      <c r="F76" s="2" t="n"/>
      <c r="G76" s="2" t="n"/>
      <c r="H76" s="2" t="n"/>
    </row>
    <row r="77">
      <c r="A77" s="2" t="n"/>
      <c r="B77" s="2" t="n"/>
      <c r="C77" s="2" t="n"/>
      <c r="D77" s="2" t="n"/>
      <c r="E77" s="2" t="n"/>
      <c r="F77" s="2" t="n"/>
      <c r="G77" s="2" t="n"/>
      <c r="H77" s="2" t="n"/>
    </row>
    <row r="78">
      <c r="A78" s="2" t="n"/>
      <c r="B78" s="2" t="n"/>
      <c r="C78" s="2" t="n"/>
      <c r="D78" s="2" t="n"/>
      <c r="E78" s="2" t="n"/>
      <c r="F78" s="2" t="n"/>
      <c r="G78" s="2" t="n"/>
      <c r="H78" s="2" t="n"/>
    </row>
    <row r="79">
      <c r="A79" s="2" t="n"/>
      <c r="B79" s="2" t="n"/>
      <c r="C79" s="2" t="n"/>
      <c r="D79" s="2" t="n"/>
      <c r="E79" s="2" t="n"/>
      <c r="F79" s="2" t="n"/>
      <c r="G79" s="2" t="n"/>
      <c r="H79" s="2" t="n"/>
    </row>
    <row r="80">
      <c r="A80" s="2" t="n"/>
      <c r="B80" s="2" t="n"/>
      <c r="C80" s="2" t="n"/>
      <c r="D80" s="2" t="n"/>
      <c r="E80" s="2" t="n"/>
      <c r="F80" s="2" t="n"/>
      <c r="G80" s="2" t="n"/>
      <c r="H80" s="2" t="n"/>
    </row>
  </sheetData>
  <mergeCells count="8">
    <mergeCell ref="A13:G13"/>
    <mergeCell ref="A14:G14"/>
    <mergeCell ref="A1:G1"/>
    <mergeCell ref="A3:G3"/>
    <mergeCell ref="A4:G5"/>
    <mergeCell ref="A16:G16"/>
    <mergeCell ref="A15:G15"/>
    <mergeCell ref="A7:G7"/>
  </mergeCells>
  <pageMargins left="0.75" right="0.75" top="1" bottom="1" header="0.5" footer="0.5"/>
</worksheet>
</file>

<file path=xl/worksheets/sheet6.xml><?xml version="1.0" encoding="utf-8"?>
<worksheet xmlns="http://schemas.openxmlformats.org/spreadsheetml/2006/main">
  <sheetPr>
    <tabColor rgb="002E86AB"/>
    <outlinePr summaryBelow="1" summaryRight="1"/>
    <pageSetUpPr/>
  </sheetPr>
  <dimension ref="A1:J120"/>
  <sheetViews>
    <sheetView showGridLines="0" workbookViewId="0">
      <selection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22" customHeight="1">
      <c r="A1" s="47" t="inlineStr">
        <is>
          <t>ZM — HISTORICAL FINANCIAL STATEMENTS (Source: CapIQ)</t>
        </is>
      </c>
      <c r="G1" s="2" t="n"/>
      <c r="H1" s="2" t="n"/>
      <c r="I1" s="2" t="n"/>
      <c r="J1" s="2" t="n"/>
    </row>
    <row r="2">
      <c r="A2" s="48" t="inlineStr">
        <is>
          <t>All figures in USD millions unless noted. Data pulled directly from S&amp;P Capital IQ.</t>
        </is>
      </c>
      <c r="G2" s="2" t="n"/>
      <c r="H2" s="2" t="n"/>
      <c r="I2" s="2" t="n"/>
      <c r="J2" s="2" t="n"/>
    </row>
    <row r="3">
      <c r="A3" s="2" t="n"/>
      <c r="B3" s="2" t="n"/>
      <c r="C3" s="2" t="n"/>
      <c r="D3" s="2" t="n"/>
      <c r="E3" s="2" t="n"/>
      <c r="F3" s="2" t="n"/>
      <c r="G3" s="2" t="n"/>
      <c r="H3" s="2" t="n"/>
      <c r="I3" s="2" t="n"/>
      <c r="J3" s="2" t="n"/>
    </row>
    <row r="4">
      <c r="A4" s="6" t="inlineStr">
        <is>
          <t>INCOME STATEMENT</t>
        </is>
      </c>
      <c r="F4" s="2" t="n"/>
      <c r="G4" s="2" t="n"/>
      <c r="H4" s="2" t="n"/>
      <c r="I4" s="2" t="n"/>
      <c r="J4" s="2" t="n"/>
    </row>
    <row r="5">
      <c r="A5" s="7" t="inlineStr">
        <is>
          <t>Metric ($mm)</t>
        </is>
      </c>
      <c r="B5" s="7" t="inlineStr">
        <is>
          <t>LTM</t>
        </is>
      </c>
      <c r="C5" s="7" t="inlineStr">
        <is>
          <t>FY0 (Latest)</t>
        </is>
      </c>
      <c r="D5" s="7" t="inlineStr">
        <is>
          <t>FY-1</t>
        </is>
      </c>
      <c r="E5" s="7" t="inlineStr">
        <is>
          <t>FY-2</t>
        </is>
      </c>
      <c r="F5" s="2" t="n"/>
      <c r="G5" s="2" t="n"/>
      <c r="H5" s="2" t="n"/>
      <c r="I5" s="2" t="n"/>
      <c r="J5" s="2" t="n"/>
    </row>
    <row r="6">
      <c r="A6" s="8" t="inlineStr">
        <is>
          <t>Revenue</t>
        </is>
      </c>
      <c r="B6" s="9" t="inlineStr">
        <is>
          <t>$4,868.8</t>
        </is>
      </c>
      <c r="C6" s="9" t="inlineStr">
        <is>
          <t>$4,868.8</t>
        </is>
      </c>
      <c r="D6" s="9" t="inlineStr">
        <is>
          <t>$4,665.4</t>
        </is>
      </c>
      <c r="E6" s="9" t="inlineStr">
        <is>
          <t>$4,527.2</t>
        </is>
      </c>
      <c r="F6" s="2" t="n"/>
      <c r="G6" s="2" t="n"/>
      <c r="H6" s="2" t="n"/>
      <c r="I6" s="2" t="n"/>
      <c r="J6" s="2" t="n"/>
    </row>
    <row r="7">
      <c r="A7" s="10" t="inlineStr">
        <is>
          <t>Gross Profit</t>
        </is>
      </c>
      <c r="B7" s="11" t="inlineStr">
        <is>
          <t>—</t>
        </is>
      </c>
      <c r="C7" s="11" t="inlineStr">
        <is>
          <t>$3,767.9</t>
        </is>
      </c>
      <c r="D7" s="11" t="inlineStr">
        <is>
          <t>$3,535.8</t>
        </is>
      </c>
      <c r="E7" s="11" t="inlineStr">
        <is>
          <t>$3,449.4</t>
        </is>
      </c>
      <c r="F7" s="2" t="n"/>
      <c r="G7" s="2" t="n"/>
      <c r="H7" s="2" t="n"/>
      <c r="I7" s="2" t="n"/>
      <c r="J7" s="2" t="n"/>
    </row>
    <row r="8">
      <c r="A8" s="8" t="inlineStr">
        <is>
          <t>EBITDA</t>
        </is>
      </c>
      <c r="B8" s="9" t="inlineStr">
        <is>
          <t>$1,274.7</t>
        </is>
      </c>
      <c r="C8" s="9" t="inlineStr">
        <is>
          <t>$1,274.7</t>
        </is>
      </c>
      <c r="D8" s="9" t="inlineStr">
        <is>
          <t>$937.3</t>
        </is>
      </c>
      <c r="E8" s="9" t="inlineStr">
        <is>
          <t>$682.2</t>
        </is>
      </c>
      <c r="F8" s="2" t="n"/>
      <c r="G8" s="2" t="n"/>
      <c r="H8" s="2" t="n"/>
      <c r="I8" s="2" t="n"/>
      <c r="J8" s="2" t="n"/>
    </row>
    <row r="9">
      <c r="A9" s="10" t="inlineStr">
        <is>
          <t>EBIT</t>
        </is>
      </c>
      <c r="B9" s="11" t="inlineStr">
        <is>
          <t>$1,141.8</t>
        </is>
      </c>
      <c r="C9" s="11" t="inlineStr">
        <is>
          <t>$1,141.8</t>
        </is>
      </c>
      <c r="D9" s="11" t="inlineStr">
        <is>
          <t>$814.6</t>
        </is>
      </c>
      <c r="E9" s="11" t="inlineStr">
        <is>
          <t>$577.8</t>
        </is>
      </c>
      <c r="F9" s="2" t="n"/>
      <c r="G9" s="2" t="n"/>
      <c r="H9" s="2" t="n"/>
      <c r="I9" s="2" t="n"/>
      <c r="J9" s="2" t="n"/>
    </row>
    <row r="10">
      <c r="A10" s="8" t="inlineStr">
        <is>
          <t>Net Income</t>
        </is>
      </c>
      <c r="B10" s="9" t="inlineStr">
        <is>
          <t>$1,900.1</t>
        </is>
      </c>
      <c r="C10" s="9" t="inlineStr">
        <is>
          <t>$1,900.1</t>
        </is>
      </c>
      <c r="D10" s="9" t="inlineStr">
        <is>
          <t>$1,010.2</t>
        </is>
      </c>
      <c r="E10" s="9" t="inlineStr">
        <is>
          <t>$637.5</t>
        </is>
      </c>
      <c r="F10" s="2" t="n"/>
      <c r="G10" s="2" t="n"/>
      <c r="H10" s="2" t="n"/>
      <c r="I10" s="2" t="n"/>
      <c r="J10" s="2" t="n"/>
    </row>
    <row r="11">
      <c r="A11" s="10" t="inlineStr">
        <is>
          <t>Net Inc. (Norm)</t>
        </is>
      </c>
      <c r="B11" s="11" t="inlineStr">
        <is>
          <t>—</t>
        </is>
      </c>
      <c r="C11" s="11" t="inlineStr">
        <is>
          <t>$919.2</t>
        </is>
      </c>
      <c r="D11" s="11" t="inlineStr">
        <is>
          <t>—</t>
        </is>
      </c>
      <c r="E11" s="11" t="inlineStr">
        <is>
          <t>—</t>
        </is>
      </c>
      <c r="F11" s="2" t="n"/>
      <c r="G11" s="2" t="n"/>
      <c r="H11" s="2" t="n"/>
      <c r="I11" s="2" t="n"/>
      <c r="J11" s="2" t="n"/>
    </row>
    <row r="12">
      <c r="A12" s="8" t="inlineStr">
        <is>
          <t>D&amp;A</t>
        </is>
      </c>
      <c r="B12" s="9" t="inlineStr">
        <is>
          <t>—</t>
        </is>
      </c>
      <c r="C12" s="9" t="inlineStr">
        <is>
          <t>$132.8</t>
        </is>
      </c>
      <c r="D12" s="9" t="inlineStr">
        <is>
          <t>—</t>
        </is>
      </c>
      <c r="E12" s="9" t="inlineStr">
        <is>
          <t>—</t>
        </is>
      </c>
      <c r="F12" s="2" t="n"/>
      <c r="G12" s="2" t="n"/>
      <c r="H12" s="2" t="n"/>
      <c r="I12" s="2" t="n"/>
      <c r="J12" s="2" t="n"/>
    </row>
    <row r="13">
      <c r="A13" s="2" t="n"/>
      <c r="B13" s="2" t="n"/>
      <c r="C13" s="2" t="n"/>
      <c r="D13" s="2" t="n"/>
      <c r="E13" s="2" t="n"/>
      <c r="F13" s="2" t="n"/>
      <c r="G13" s="2" t="n"/>
      <c r="H13" s="2" t="n"/>
      <c r="I13" s="2" t="n"/>
      <c r="J13" s="2" t="n"/>
    </row>
    <row r="14">
      <c r="A14" s="6" t="inlineStr">
        <is>
          <t>CASH FLOW</t>
        </is>
      </c>
      <c r="F14" s="2" t="n"/>
      <c r="G14" s="2" t="n"/>
      <c r="H14" s="2" t="n"/>
      <c r="I14" s="2" t="n"/>
      <c r="J14" s="2" t="n"/>
    </row>
    <row r="15">
      <c r="A15" s="7" t="inlineStr">
        <is>
          <t>Metric ($mm)</t>
        </is>
      </c>
      <c r="B15" s="7" t="inlineStr">
        <is>
          <t>LTM</t>
        </is>
      </c>
      <c r="C15" s="7" t="inlineStr">
        <is>
          <t>FY0 (Latest)</t>
        </is>
      </c>
      <c r="D15" s="7" t="inlineStr">
        <is>
          <t>FY-1</t>
        </is>
      </c>
      <c r="E15" s="7" t="inlineStr">
        <is>
          <t>FY-2</t>
        </is>
      </c>
      <c r="F15" s="2" t="n"/>
      <c r="G15" s="2" t="n"/>
      <c r="H15" s="2" t="n"/>
      <c r="I15" s="2" t="n"/>
      <c r="J15" s="2" t="n"/>
    </row>
    <row r="16">
      <c r="A16" s="8" t="inlineStr">
        <is>
          <t>Operating Cash Flow</t>
        </is>
      </c>
      <c r="B16" s="9" t="inlineStr">
        <is>
          <t>—</t>
        </is>
      </c>
      <c r="C16" s="9" t="inlineStr">
        <is>
          <t>$1,989.0</t>
        </is>
      </c>
      <c r="D16" s="9" t="inlineStr">
        <is>
          <t>$1,945.3</t>
        </is>
      </c>
      <c r="E16" s="9" t="inlineStr">
        <is>
          <t>—</t>
        </is>
      </c>
      <c r="F16" s="2" t="n"/>
      <c r="G16" s="2" t="n"/>
      <c r="H16" s="2" t="n"/>
      <c r="I16" s="2" t="n"/>
      <c r="J16" s="2" t="n"/>
    </row>
    <row r="17">
      <c r="A17" s="10" t="inlineStr">
        <is>
          <t>CapEx</t>
        </is>
      </c>
      <c r="B17" s="11" t="inlineStr">
        <is>
          <t>—</t>
        </is>
      </c>
      <c r="C17" s="11" t="inlineStr">
        <is>
          <t>$-65.0</t>
        </is>
      </c>
      <c r="D17" s="11" t="inlineStr">
        <is>
          <t>$-136.6</t>
        </is>
      </c>
      <c r="E17" s="11" t="inlineStr">
        <is>
          <t>$-127.0</t>
        </is>
      </c>
      <c r="F17" s="2" t="n"/>
      <c r="G17" s="2" t="n"/>
      <c r="H17" s="2" t="n"/>
      <c r="I17" s="2" t="n"/>
      <c r="J17" s="2" t="n"/>
    </row>
    <row r="18">
      <c r="A18" s="8" t="inlineStr">
        <is>
          <t>Levered FCF</t>
        </is>
      </c>
      <c r="B18" s="9" t="inlineStr">
        <is>
          <t>$1,963.5</t>
        </is>
      </c>
      <c r="C18" s="9" t="inlineStr">
        <is>
          <t>$1,963.5</t>
        </is>
      </c>
      <c r="D18" s="9" t="inlineStr">
        <is>
          <t>$1,926.8</t>
        </is>
      </c>
      <c r="E18" s="9" t="inlineStr">
        <is>
          <t>—</t>
        </is>
      </c>
      <c r="F18" s="2" t="n"/>
      <c r="G18" s="2" t="n"/>
      <c r="H18" s="2" t="n"/>
      <c r="I18" s="2" t="n"/>
      <c r="J18" s="2" t="n"/>
    </row>
    <row r="19">
      <c r="A19" s="10" t="inlineStr">
        <is>
          <t>Unlevered FCF</t>
        </is>
      </c>
      <c r="B19" s="11" t="inlineStr">
        <is>
          <t>$1,963.5</t>
        </is>
      </c>
      <c r="C19" s="11" t="inlineStr">
        <is>
          <t>$1,963.5</t>
        </is>
      </c>
      <c r="D19" s="11" t="inlineStr">
        <is>
          <t>—</t>
        </is>
      </c>
      <c r="E19" s="11" t="inlineStr">
        <is>
          <t>—</t>
        </is>
      </c>
      <c r="F19" s="2" t="n"/>
      <c r="G19" s="2" t="n"/>
      <c r="H19" s="2" t="n"/>
      <c r="I19" s="2" t="n"/>
      <c r="J19" s="2" t="n"/>
    </row>
    <row r="20">
      <c r="A20" s="8" t="inlineStr">
        <is>
          <t>EBITDA - CapEx</t>
        </is>
      </c>
      <c r="B20" s="9" t="inlineStr">
        <is>
          <t>$1,209.7</t>
        </is>
      </c>
      <c r="C20" s="9" t="inlineStr">
        <is>
          <t>—</t>
        </is>
      </c>
      <c r="D20" s="9" t="inlineStr">
        <is>
          <t>—</t>
        </is>
      </c>
      <c r="E20" s="9" t="inlineStr">
        <is>
          <t>—</t>
        </is>
      </c>
      <c r="F20" s="2" t="n"/>
      <c r="G20" s="2" t="n"/>
      <c r="H20" s="2" t="n"/>
      <c r="I20" s="2" t="n"/>
      <c r="J20" s="2" t="n"/>
    </row>
    <row r="21">
      <c r="A21" s="2" t="n"/>
      <c r="B21" s="2" t="n"/>
      <c r="C21" s="2" t="n"/>
      <c r="D21" s="2" t="n"/>
      <c r="E21" s="2" t="n"/>
      <c r="F21" s="2" t="n"/>
      <c r="G21" s="2" t="n"/>
      <c r="H21" s="2" t="n"/>
      <c r="I21" s="2" t="n"/>
      <c r="J21" s="2" t="n"/>
    </row>
    <row r="22">
      <c r="A22" s="6" t="inlineStr">
        <is>
          <t>MARGIN ANALYSIS (CapIQ ratios — LTM basis)</t>
        </is>
      </c>
      <c r="D22" s="2" t="n"/>
      <c r="E22" s="2" t="n"/>
      <c r="F22" s="2" t="n"/>
      <c r="G22" s="2" t="n"/>
      <c r="H22" s="2" t="n"/>
      <c r="I22" s="2" t="n"/>
      <c r="J22" s="2" t="n"/>
    </row>
    <row r="23">
      <c r="A23" s="7" t="inlineStr">
        <is>
          <t>Metric</t>
        </is>
      </c>
      <c r="B23" s="7" t="inlineStr">
        <is>
          <t>Value</t>
        </is>
      </c>
      <c r="C23" s="7" t="inlineStr">
        <is>
          <t>Source</t>
        </is>
      </c>
      <c r="D23" s="2" t="n"/>
      <c r="E23" s="2" t="n"/>
      <c r="F23" s="2" t="n"/>
      <c r="G23" s="2" t="n"/>
      <c r="H23" s="2" t="n"/>
      <c r="I23" s="2" t="n"/>
      <c r="J23" s="2" t="n"/>
    </row>
    <row r="24">
      <c r="A24" s="8" t="inlineStr">
        <is>
          <t>Gross Margin %</t>
        </is>
      </c>
      <c r="B24" s="9" t="inlineStr">
        <is>
          <t>77.4%</t>
        </is>
      </c>
      <c r="C24" s="9" t="inlineStr">
        <is>
          <t>CapIQ IQ_GROSS_MARGIN</t>
        </is>
      </c>
      <c r="D24" s="2" t="n"/>
      <c r="E24" s="2" t="n"/>
      <c r="F24" s="2" t="n"/>
      <c r="G24" s="2" t="n"/>
      <c r="H24" s="2" t="n"/>
      <c r="I24" s="2" t="n"/>
      <c r="J24" s="2" t="n"/>
    </row>
    <row r="25">
      <c r="A25" s="10" t="inlineStr">
        <is>
          <t>EBITDA Margin %</t>
        </is>
      </c>
      <c r="B25" s="11" t="inlineStr">
        <is>
          <t>26.2%</t>
        </is>
      </c>
      <c r="C25" s="11" t="inlineStr">
        <is>
          <t>CapIQ IQ_EBITDA_MARGIN</t>
        </is>
      </c>
      <c r="D25" s="2" t="n"/>
      <c r="E25" s="2" t="n"/>
      <c r="F25" s="2" t="n"/>
      <c r="G25" s="2" t="n"/>
      <c r="H25" s="2" t="n"/>
      <c r="I25" s="2" t="n"/>
      <c r="J25" s="2" t="n"/>
    </row>
    <row r="26">
      <c r="A26" s="8" t="inlineStr">
        <is>
          <t>Net Income Margin %</t>
        </is>
      </c>
      <c r="B26" s="9" t="inlineStr">
        <is>
          <t>39.0%</t>
        </is>
      </c>
      <c r="C26" s="9" t="inlineStr">
        <is>
          <t>CapIQ IQ_NI_MARGIN</t>
        </is>
      </c>
      <c r="D26" s="2" t="n"/>
      <c r="E26" s="2" t="n"/>
      <c r="F26" s="2" t="n"/>
      <c r="G26" s="2" t="n"/>
      <c r="H26" s="2" t="n"/>
      <c r="I26" s="2" t="n"/>
      <c r="J26" s="2" t="n"/>
    </row>
    <row r="27">
      <c r="A27" s="10" t="inlineStr">
        <is>
          <t>Levered FCF Margin %</t>
        </is>
      </c>
      <c r="B27" s="11" t="inlineStr">
        <is>
          <t>40.3%</t>
        </is>
      </c>
      <c r="C27" s="11" t="inlineStr">
        <is>
          <t>CapIQ IQ_LFCF_MARGIN</t>
        </is>
      </c>
      <c r="D27" s="2" t="n"/>
      <c r="E27" s="2" t="n"/>
      <c r="F27" s="2" t="n"/>
      <c r="G27" s="2" t="n"/>
      <c r="H27" s="2" t="n"/>
      <c r="I27" s="2" t="n"/>
      <c r="J27" s="2" t="n"/>
    </row>
    <row r="28">
      <c r="A28" s="8" t="inlineStr">
        <is>
          <t>ROIC %</t>
        </is>
      </c>
      <c r="B28" s="9" t="inlineStr">
        <is>
          <t>—</t>
        </is>
      </c>
      <c r="C28" s="9" t="inlineStr">
        <is>
          <t>CapIQ IQ_RETURN_INVEST_CAP</t>
        </is>
      </c>
      <c r="D28" s="2" t="n"/>
      <c r="E28" s="2" t="n"/>
      <c r="F28" s="2" t="n"/>
      <c r="G28" s="2" t="n"/>
      <c r="H28" s="2" t="n"/>
      <c r="I28" s="2" t="n"/>
      <c r="J28" s="2" t="n"/>
    </row>
    <row r="29">
      <c r="A29" s="10" t="inlineStr">
        <is>
          <t>ROE %</t>
        </is>
      </c>
      <c r="B29" s="11" t="inlineStr">
        <is>
          <t>20.3%</t>
        </is>
      </c>
      <c r="C29" s="11" t="inlineStr">
        <is>
          <t>CapIQ IQ_RETURN_EQUITY</t>
        </is>
      </c>
      <c r="D29" s="2" t="n"/>
      <c r="E29" s="2" t="n"/>
      <c r="F29" s="2" t="n"/>
      <c r="G29" s="2" t="n"/>
      <c r="H29" s="2" t="n"/>
      <c r="I29" s="2" t="n"/>
      <c r="J29" s="2" t="n"/>
    </row>
    <row r="30">
      <c r="A30" s="8" t="inlineStr">
        <is>
          <t>ROA %</t>
        </is>
      </c>
      <c r="B30" s="9" t="inlineStr">
        <is>
          <t>6.2%</t>
        </is>
      </c>
      <c r="C30" s="9" t="inlineStr">
        <is>
          <t>CapIQ IQ_RETURN_ASSETS</t>
        </is>
      </c>
      <c r="D30" s="2" t="n"/>
      <c r="E30" s="2" t="n"/>
      <c r="F30" s="2" t="n"/>
      <c r="G30" s="2" t="n"/>
      <c r="H30" s="2" t="n"/>
      <c r="I30" s="2" t="n"/>
      <c r="J30" s="2" t="n"/>
    </row>
    <row r="31">
      <c r="A31" s="2" t="n"/>
      <c r="B31" s="2" t="n"/>
      <c r="C31" s="2" t="n"/>
      <c r="D31" s="2" t="n"/>
      <c r="E31" s="2" t="n"/>
      <c r="F31" s="2" t="n"/>
      <c r="G31" s="2" t="n"/>
      <c r="H31" s="2" t="n"/>
      <c r="I31" s="2" t="n"/>
      <c r="J31" s="2" t="n"/>
    </row>
    <row r="32">
      <c r="A32" s="6" t="inlineStr">
        <is>
          <t>BALANCE SHEET (Latest)</t>
        </is>
      </c>
      <c r="D32" s="2" t="n"/>
      <c r="E32" s="2" t="n"/>
      <c r="F32" s="2" t="n"/>
      <c r="G32" s="2" t="n"/>
      <c r="H32" s="2" t="n"/>
      <c r="I32" s="2" t="n"/>
      <c r="J32" s="2" t="n"/>
    </row>
    <row r="33">
      <c r="A33" s="7" t="inlineStr">
        <is>
          <t>Metric ($mm)</t>
        </is>
      </c>
      <c r="B33" s="7" t="inlineStr">
        <is>
          <t>Value</t>
        </is>
      </c>
      <c r="C33" s="7" t="inlineStr">
        <is>
          <t>Source</t>
        </is>
      </c>
      <c r="D33" s="2" t="n"/>
      <c r="E33" s="2" t="n"/>
      <c r="F33" s="2" t="n"/>
      <c r="G33" s="2" t="n"/>
      <c r="H33" s="2" t="n"/>
      <c r="I33" s="2" t="n"/>
      <c r="J33" s="2" t="n"/>
    </row>
    <row r="34">
      <c r="A34" s="8" t="inlineStr">
        <is>
          <t>Cash &amp; ST Investments</t>
        </is>
      </c>
      <c r="B34" s="9" t="inlineStr">
        <is>
          <t>$7,816.9</t>
        </is>
      </c>
      <c r="C34" s="9" t="inlineStr">
        <is>
          <t>CapIQ IQ_CASH_ST_INVEST</t>
        </is>
      </c>
      <c r="D34" s="2" t="n"/>
      <c r="E34" s="2" t="n"/>
      <c r="F34" s="2" t="n"/>
      <c r="G34" s="2" t="n"/>
      <c r="H34" s="2" t="n"/>
      <c r="I34" s="2" t="n"/>
      <c r="J34" s="2" t="n"/>
    </row>
    <row r="35">
      <c r="A35" s="10" t="inlineStr">
        <is>
          <t>Total Debt</t>
        </is>
      </c>
      <c r="B35" s="11" t="inlineStr">
        <is>
          <t>$58.5</t>
        </is>
      </c>
      <c r="C35" s="11" t="inlineStr">
        <is>
          <t>CapIQ IQ_TOTAL_DEBT</t>
        </is>
      </c>
      <c r="D35" s="2" t="n"/>
      <c r="E35" s="2" t="n"/>
      <c r="F35" s="2" t="n"/>
      <c r="G35" s="2" t="n"/>
      <c r="H35" s="2" t="n"/>
      <c r="I35" s="2" t="n"/>
      <c r="J35" s="2" t="n"/>
    </row>
    <row r="36">
      <c r="A36" s="8" t="inlineStr">
        <is>
          <t>Net Debt</t>
        </is>
      </c>
      <c r="B36" s="9" t="inlineStr">
        <is>
          <t>$-7,758.4</t>
        </is>
      </c>
      <c r="C36" s="9" t="inlineStr">
        <is>
          <t>CapIQ IQ_NET_DEBT</t>
        </is>
      </c>
      <c r="D36" s="2" t="n"/>
      <c r="E36" s="2" t="n"/>
      <c r="F36" s="2" t="n"/>
      <c r="G36" s="2" t="n"/>
      <c r="H36" s="2" t="n"/>
      <c r="I36" s="2" t="n"/>
      <c r="J36" s="2" t="n"/>
    </row>
    <row r="37">
      <c r="A37" s="10" t="inlineStr">
        <is>
          <t>Total Assets</t>
        </is>
      </c>
      <c r="B37" s="11" t="inlineStr">
        <is>
          <t>$11,960.4</t>
        </is>
      </c>
      <c r="C37" s="11" t="inlineStr">
        <is>
          <t>CapIQ IQ_TOTAL_ASSETS</t>
        </is>
      </c>
      <c r="D37" s="2" t="n"/>
      <c r="E37" s="2" t="n"/>
      <c r="F37" s="2" t="n"/>
      <c r="G37" s="2" t="n"/>
      <c r="H37" s="2" t="n"/>
      <c r="I37" s="2" t="n"/>
      <c r="J37" s="2" t="n"/>
    </row>
    <row r="38">
      <c r="A38" s="8" t="inlineStr">
        <is>
          <t>Total Equity</t>
        </is>
      </c>
      <c r="B38" s="9" t="inlineStr">
        <is>
          <t>$9,808.3</t>
        </is>
      </c>
      <c r="C38" s="9" t="inlineStr">
        <is>
          <t>CapIQ IQ_TOTAL_EQUITY</t>
        </is>
      </c>
      <c r="D38" s="2" t="n"/>
      <c r="E38" s="2" t="n"/>
      <c r="F38" s="2" t="n"/>
      <c r="G38" s="2" t="n"/>
      <c r="H38" s="2" t="n"/>
      <c r="I38" s="2" t="n"/>
      <c r="J38" s="2" t="n"/>
    </row>
    <row r="39">
      <c r="A39" s="10" t="inlineStr">
        <is>
          <t>Tangible Book Value</t>
        </is>
      </c>
      <c r="B39" s="11" t="inlineStr">
        <is>
          <t>$9,336.6</t>
        </is>
      </c>
      <c r="C39" s="11" t="inlineStr">
        <is>
          <t>CapIQ IQ_TBV</t>
        </is>
      </c>
      <c r="D39" s="2" t="n"/>
      <c r="E39" s="2" t="n"/>
      <c r="F39" s="2" t="n"/>
      <c r="G39" s="2" t="n"/>
      <c r="H39" s="2" t="n"/>
      <c r="I39" s="2" t="n"/>
      <c r="J39" s="2" t="n"/>
    </row>
    <row r="40">
      <c r="A40" s="8" t="inlineStr">
        <is>
          <t>Net Debt / EBITDA</t>
        </is>
      </c>
      <c r="B40" s="9" t="inlineStr">
        <is>
          <t>—</t>
        </is>
      </c>
      <c r="C40" s="9" t="inlineStr">
        <is>
          <t>CapIQ IQ_NET_DEBT_EBITDA</t>
        </is>
      </c>
      <c r="D40" s="2" t="n"/>
      <c r="E40" s="2" t="n"/>
      <c r="F40" s="2" t="n"/>
      <c r="G40" s="2" t="n"/>
      <c r="H40" s="2" t="n"/>
      <c r="I40" s="2" t="n"/>
      <c r="J40" s="2" t="n"/>
    </row>
    <row r="41">
      <c r="A41" s="10" t="inlineStr">
        <is>
          <t>EBIT Interest Coverage</t>
        </is>
      </c>
      <c r="B41" s="11" t="inlineStr">
        <is>
          <t>0.0x</t>
        </is>
      </c>
      <c r="C41" s="11" t="inlineStr">
        <is>
          <t>CapIQ IQ_EBIT_INT</t>
        </is>
      </c>
      <c r="D41" s="2" t="n"/>
      <c r="E41" s="2" t="n"/>
      <c r="F41" s="2" t="n"/>
      <c r="G41" s="2" t="n"/>
      <c r="H41" s="2" t="n"/>
      <c r="I41" s="2" t="n"/>
      <c r="J41" s="2" t="n"/>
    </row>
    <row r="42">
      <c r="A42" s="8" t="inlineStr">
        <is>
          <t>Current Ratio</t>
        </is>
      </c>
      <c r="B42" s="9" t="inlineStr">
        <is>
          <t>4.3x</t>
        </is>
      </c>
      <c r="C42" s="9" t="inlineStr">
        <is>
          <t>CapIQ IQ_CURRENT_RATIO</t>
        </is>
      </c>
      <c r="D42" s="2" t="n"/>
      <c r="E42" s="2" t="n"/>
      <c r="F42" s="2" t="n"/>
      <c r="G42" s="2" t="n"/>
      <c r="H42" s="2" t="n"/>
      <c r="I42" s="2" t="n"/>
      <c r="J42" s="2" t="n"/>
    </row>
    <row r="43">
      <c r="A43" s="2" t="n"/>
      <c r="B43" s="2" t="n"/>
      <c r="C43" s="2" t="n"/>
      <c r="D43" s="2" t="n"/>
      <c r="E43" s="2" t="n"/>
      <c r="F43" s="2" t="n"/>
      <c r="G43" s="2" t="n"/>
      <c r="H43" s="2" t="n"/>
      <c r="I43" s="2" t="n"/>
      <c r="J43" s="2" t="n"/>
    </row>
    <row r="44">
      <c r="A44" s="6" t="inlineStr">
        <is>
          <t>1-YEAR GROWTH RATES (LTM vs. prior year)</t>
        </is>
      </c>
      <c r="D44" s="2" t="n"/>
      <c r="E44" s="2" t="n"/>
      <c r="F44" s="2" t="n"/>
      <c r="G44" s="2" t="n"/>
      <c r="H44" s="2" t="n"/>
      <c r="I44" s="2" t="n"/>
      <c r="J44" s="2" t="n"/>
    </row>
    <row r="45">
      <c r="A45" s="7" t="inlineStr">
        <is>
          <t>Metric</t>
        </is>
      </c>
      <c r="B45" s="7" t="inlineStr">
        <is>
          <t>Growth %</t>
        </is>
      </c>
      <c r="C45" s="7" t="inlineStr">
        <is>
          <t>Source</t>
        </is>
      </c>
      <c r="D45" s="2" t="n"/>
      <c r="E45" s="2" t="n"/>
      <c r="F45" s="2" t="n"/>
      <c r="G45" s="2" t="n"/>
      <c r="H45" s="2" t="n"/>
      <c r="I45" s="2" t="n"/>
      <c r="J45" s="2" t="n"/>
    </row>
    <row r="46">
      <c r="A46" s="8" t="inlineStr">
        <is>
          <t>Revenue Growth 1YR</t>
        </is>
      </c>
      <c r="B46" s="9" t="inlineStr">
        <is>
          <t>4.4%</t>
        </is>
      </c>
      <c r="C46" s="9" t="inlineStr">
        <is>
          <t>CapIQ IQ_TOTAL_REV_1YR_ANN_GROWTH</t>
        </is>
      </c>
      <c r="D46" s="2" t="n"/>
      <c r="E46" s="2" t="n"/>
      <c r="F46" s="2" t="n"/>
      <c r="G46" s="2" t="n"/>
      <c r="H46" s="2" t="n"/>
      <c r="I46" s="2" t="n"/>
      <c r="J46" s="2" t="n"/>
    </row>
    <row r="47">
      <c r="A47" s="10" t="inlineStr">
        <is>
          <t>EBITDA Growth 1YR</t>
        </is>
      </c>
      <c r="B47" s="11" t="inlineStr">
        <is>
          <t>36.0%</t>
        </is>
      </c>
      <c r="C47" s="11" t="inlineStr">
        <is>
          <t>CapIQ IQ_EBITDA_1YR_ANN_GROWTH</t>
        </is>
      </c>
      <c r="D47" s="2" t="n"/>
      <c r="E47" s="2" t="n"/>
      <c r="F47" s="2" t="n"/>
      <c r="G47" s="2" t="n"/>
      <c r="H47" s="2" t="n"/>
      <c r="I47" s="2" t="n"/>
      <c r="J47" s="2" t="n"/>
    </row>
    <row r="48">
      <c r="A48" s="8" t="inlineStr">
        <is>
          <t>Net Income Growth 1YR</t>
        </is>
      </c>
      <c r="B48" s="9" t="inlineStr">
        <is>
          <t>88.1%</t>
        </is>
      </c>
      <c r="C48" s="9" t="inlineStr">
        <is>
          <t>CapIQ IQ_NI_1YR_ANN_GROWTH</t>
        </is>
      </c>
      <c r="D48" s="2" t="n"/>
      <c r="E48" s="2" t="n"/>
      <c r="F48" s="2" t="n"/>
      <c r="G48" s="2" t="n"/>
      <c r="H48" s="2" t="n"/>
      <c r="I48" s="2" t="n"/>
      <c r="J48" s="2" t="n"/>
    </row>
    <row r="49">
      <c r="A49" s="10" t="inlineStr">
        <is>
          <t>EPS Growth 1YR</t>
        </is>
      </c>
      <c r="B49" s="11" t="inlineStr">
        <is>
          <t>92.8%</t>
        </is>
      </c>
      <c r="C49" s="11" t="inlineStr">
        <is>
          <t>CapIQ IQ_EPS_1YR_ANN_GROWTH</t>
        </is>
      </c>
      <c r="D49" s="2" t="n"/>
      <c r="E49" s="2" t="n"/>
      <c r="F49" s="2" t="n"/>
      <c r="G49" s="2" t="n"/>
      <c r="H49" s="2" t="n"/>
      <c r="I49" s="2" t="n"/>
      <c r="J49" s="2" t="n"/>
    </row>
    <row r="50">
      <c r="A50" s="8" t="inlineStr">
        <is>
          <t>Levered FCF Growth 1YR</t>
        </is>
      </c>
      <c r="B50" s="9" t="inlineStr">
        <is>
          <t>1.9%</t>
        </is>
      </c>
      <c r="C50" s="9" t="inlineStr">
        <is>
          <t>CapIQ IQ_LFCF_1YR_ANN_GROWTH</t>
        </is>
      </c>
      <c r="D50" s="2" t="n"/>
      <c r="E50" s="2" t="n"/>
      <c r="F50" s="2" t="n"/>
      <c r="G50" s="2" t="n"/>
      <c r="H50" s="2" t="n"/>
      <c r="I50" s="2" t="n"/>
      <c r="J50" s="2" t="n"/>
    </row>
    <row r="51">
      <c r="A51" s="2" t="n"/>
      <c r="B51" s="2" t="n"/>
      <c r="C51" s="2" t="n"/>
      <c r="D51" s="2" t="n"/>
      <c r="E51" s="2" t="n"/>
      <c r="F51" s="2" t="n"/>
      <c r="G51" s="2" t="n"/>
      <c r="H51" s="2" t="n"/>
      <c r="I51" s="2" t="n"/>
      <c r="J51" s="2" t="n"/>
    </row>
    <row r="52">
      <c r="A52" s="6" t="inlineStr">
        <is>
          <t>CONSENSUS ESTIMATES (CapIQ)</t>
        </is>
      </c>
      <c r="F52" s="2" t="n"/>
      <c r="G52" s="2" t="n"/>
      <c r="H52" s="2" t="n"/>
      <c r="I52" s="2" t="n"/>
      <c r="J52" s="2" t="n"/>
    </row>
    <row r="53">
      <c r="A53" s="7" t="inlineStr">
        <is>
          <t>Metric</t>
        </is>
      </c>
      <c r="B53" s="7" t="inlineStr">
        <is>
          <t>NTM</t>
        </is>
      </c>
      <c r="C53" s="7" t="inlineStr">
        <is>
          <t>FY+1</t>
        </is>
      </c>
      <c r="D53" s="7" t="inlineStr">
        <is>
          <t>FY+2</t>
        </is>
      </c>
      <c r="E53" s="7" t="inlineStr">
        <is>
          <t>Source</t>
        </is>
      </c>
      <c r="F53" s="2" t="n"/>
      <c r="G53" s="2" t="n"/>
      <c r="H53" s="2" t="n"/>
      <c r="I53" s="2" t="n"/>
      <c r="J53" s="2" t="n"/>
    </row>
    <row r="54">
      <c r="A54" s="8" t="inlineStr">
        <is>
          <t>Est. Revenue ($mm)</t>
        </is>
      </c>
      <c r="B54" s="9" t="inlineStr">
        <is>
          <t>$5,071.4</t>
        </is>
      </c>
      <c r="C54" s="9" t="inlineStr">
        <is>
          <t>$5,071.4</t>
        </is>
      </c>
      <c r="D54" s="9" t="inlineStr">
        <is>
          <t>$5,272.3</t>
        </is>
      </c>
      <c r="E54" s="9" t="inlineStr">
        <is>
          <t>CapIQ IQ_REVENUE_EST</t>
        </is>
      </c>
      <c r="F54" s="2" t="n"/>
      <c r="G54" s="2" t="n"/>
      <c r="H54" s="2" t="n"/>
      <c r="I54" s="2" t="n"/>
      <c r="J54" s="2" t="n"/>
    </row>
    <row r="55">
      <c r="A55" s="10" t="inlineStr">
        <is>
          <t>Est. EBITDA ($mm)</t>
        </is>
      </c>
      <c r="B55" s="11" t="inlineStr">
        <is>
          <t>$2,183.7</t>
        </is>
      </c>
      <c r="C55" s="11" t="inlineStr">
        <is>
          <t>$2,183.7</t>
        </is>
      </c>
      <c r="D55" s="11" t="inlineStr">
        <is>
          <t>$2,270.1</t>
        </is>
      </c>
      <c r="E55" s="11" t="inlineStr">
        <is>
          <t>CapIQ IQ_EBITDA_EST</t>
        </is>
      </c>
      <c r="F55" s="2" t="n"/>
      <c r="G55" s="2" t="n"/>
      <c r="H55" s="2" t="n"/>
      <c r="I55" s="2" t="n"/>
      <c r="J55" s="2" t="n"/>
    </row>
    <row r="56">
      <c r="A56" s="8" t="inlineStr">
        <is>
          <t>Est. EBIT ($mm)</t>
        </is>
      </c>
      <c r="B56" s="9" t="inlineStr">
        <is>
          <t>—</t>
        </is>
      </c>
      <c r="C56" s="9" t="inlineStr">
        <is>
          <t>$2,056.4</t>
        </is>
      </c>
      <c r="D56" s="9" t="inlineStr">
        <is>
          <t>—</t>
        </is>
      </c>
      <c r="E56" s="9" t="inlineStr">
        <is>
          <t>CapIQ IQ_EBIT_EST</t>
        </is>
      </c>
      <c r="F56" s="2" t="n"/>
      <c r="G56" s="2" t="n"/>
      <c r="H56" s="2" t="n"/>
      <c r="I56" s="2" t="n"/>
      <c r="J56" s="2" t="n"/>
    </row>
    <row r="57">
      <c r="A57" s="10" t="inlineStr">
        <is>
          <t>Est. Net Income ($mm)</t>
        </is>
      </c>
      <c r="B57" s="11" t="inlineStr">
        <is>
          <t>—</t>
        </is>
      </c>
      <c r="C57" s="11" t="inlineStr">
        <is>
          <t>$1,794.5</t>
        </is>
      </c>
      <c r="D57" s="11" t="inlineStr">
        <is>
          <t>—</t>
        </is>
      </c>
      <c r="E57" s="11" t="inlineStr">
        <is>
          <t>CapIQ IQ_NI_EST</t>
        </is>
      </c>
      <c r="F57" s="2" t="n"/>
      <c r="G57" s="2" t="n"/>
      <c r="H57" s="2" t="n"/>
      <c r="I57" s="2" t="n"/>
      <c r="J57" s="2" t="n"/>
    </row>
    <row r="58">
      <c r="A58" s="8" t="inlineStr">
        <is>
          <t>Est. EPS</t>
        </is>
      </c>
      <c r="B58" s="9" t="inlineStr">
        <is>
          <t>5.9</t>
        </is>
      </c>
      <c r="C58" s="9" t="inlineStr">
        <is>
          <t>5.9</t>
        </is>
      </c>
      <c r="D58" s="9" t="inlineStr">
        <is>
          <t>6.1</t>
        </is>
      </c>
      <c r="E58" s="9" t="inlineStr">
        <is>
          <t>CapIQ IQ_EPS_EST</t>
        </is>
      </c>
      <c r="F58" s="2" t="n"/>
      <c r="G58" s="2" t="n"/>
      <c r="H58" s="2" t="n"/>
      <c r="I58" s="2" t="n"/>
      <c r="J58" s="2" t="n"/>
    </row>
    <row r="59">
      <c r="A59" s="2" t="n"/>
      <c r="B59" s="2" t="n"/>
      <c r="C59" s="2" t="n"/>
      <c r="D59" s="2" t="n"/>
      <c r="E59" s="2" t="n"/>
      <c r="F59" s="2" t="n"/>
      <c r="G59" s="2" t="n"/>
      <c r="H59" s="2" t="n"/>
      <c r="I59" s="2" t="n"/>
      <c r="J59" s="2" t="n"/>
    </row>
    <row r="60">
      <c r="A60" s="2" t="n"/>
      <c r="B60" s="2" t="n"/>
      <c r="C60" s="2" t="n"/>
      <c r="D60" s="2" t="n"/>
      <c r="E60" s="2" t="n"/>
      <c r="F60" s="2" t="n"/>
      <c r="G60" s="2" t="n"/>
      <c r="H60" s="2" t="n"/>
      <c r="I60" s="2" t="n"/>
      <c r="J60" s="2" t="n"/>
    </row>
    <row r="61">
      <c r="A61" s="2" t="n"/>
      <c r="B61" s="2" t="n"/>
      <c r="C61" s="2" t="n"/>
      <c r="D61" s="2" t="n"/>
      <c r="E61" s="2" t="n"/>
      <c r="F61" s="2" t="n"/>
      <c r="G61" s="2" t="n"/>
      <c r="H61" s="2" t="n"/>
      <c r="I61" s="2" t="n"/>
      <c r="J61" s="2" t="n"/>
    </row>
    <row r="62">
      <c r="A62" s="2" t="n"/>
      <c r="B62" s="2" t="n"/>
      <c r="C62" s="2" t="n"/>
      <c r="D62" s="2" t="n"/>
      <c r="E62" s="2" t="n"/>
      <c r="F62" s="2" t="n"/>
      <c r="G62" s="2" t="n"/>
      <c r="H62" s="2" t="n"/>
      <c r="I62" s="2" t="n"/>
      <c r="J62" s="2" t="n"/>
    </row>
    <row r="63">
      <c r="A63" s="2" t="n"/>
      <c r="B63" s="2" t="n"/>
      <c r="C63" s="2" t="n"/>
      <c r="D63" s="2" t="n"/>
      <c r="E63" s="2" t="n"/>
      <c r="F63" s="2" t="n"/>
      <c r="G63" s="2" t="n"/>
      <c r="H63" s="2" t="n"/>
      <c r="I63" s="2" t="n"/>
      <c r="J63" s="2" t="n"/>
    </row>
    <row r="64">
      <c r="A64" s="2" t="n"/>
      <c r="B64" s="2" t="n"/>
      <c r="C64" s="2" t="n"/>
      <c r="D64" s="2" t="n"/>
      <c r="E64" s="2" t="n"/>
      <c r="F64" s="2" t="n"/>
      <c r="G64" s="2" t="n"/>
      <c r="H64" s="2" t="n"/>
      <c r="I64" s="2" t="n"/>
      <c r="J64" s="2" t="n"/>
    </row>
    <row r="65">
      <c r="A65" s="2" t="n"/>
      <c r="B65" s="2" t="n"/>
      <c r="C65" s="2" t="n"/>
      <c r="D65" s="2" t="n"/>
      <c r="E65" s="2" t="n"/>
      <c r="F65" s="2" t="n"/>
      <c r="G65" s="2" t="n"/>
      <c r="H65" s="2" t="n"/>
      <c r="I65" s="2" t="n"/>
      <c r="J65" s="2" t="n"/>
    </row>
    <row r="66">
      <c r="A66" s="2" t="n"/>
      <c r="B66" s="2" t="n"/>
      <c r="C66" s="2" t="n"/>
      <c r="D66" s="2" t="n"/>
      <c r="E66" s="2" t="n"/>
      <c r="F66" s="2" t="n"/>
      <c r="G66" s="2" t="n"/>
      <c r="H66" s="2" t="n"/>
      <c r="I66" s="2" t="n"/>
      <c r="J66" s="2" t="n"/>
    </row>
    <row r="67">
      <c r="A67" s="2" t="n"/>
      <c r="B67" s="2" t="n"/>
      <c r="C67" s="2" t="n"/>
      <c r="D67" s="2" t="n"/>
      <c r="E67" s="2" t="n"/>
      <c r="F67" s="2" t="n"/>
      <c r="G67" s="2" t="n"/>
      <c r="H67" s="2" t="n"/>
      <c r="I67" s="2" t="n"/>
      <c r="J67" s="2" t="n"/>
    </row>
    <row r="68">
      <c r="A68" s="2" t="n"/>
      <c r="B68" s="2" t="n"/>
      <c r="C68" s="2" t="n"/>
      <c r="D68" s="2" t="n"/>
      <c r="E68" s="2" t="n"/>
      <c r="F68" s="2" t="n"/>
      <c r="G68" s="2" t="n"/>
      <c r="H68" s="2" t="n"/>
      <c r="I68" s="2" t="n"/>
      <c r="J68" s="2" t="n"/>
    </row>
    <row r="69">
      <c r="A69" s="2" t="n"/>
      <c r="B69" s="2" t="n"/>
      <c r="C69" s="2" t="n"/>
      <c r="D69" s="2" t="n"/>
      <c r="E69" s="2" t="n"/>
      <c r="F69" s="2" t="n"/>
      <c r="G69" s="2" t="n"/>
      <c r="H69" s="2" t="n"/>
      <c r="I69" s="2" t="n"/>
      <c r="J69" s="2" t="n"/>
    </row>
    <row r="70">
      <c r="A70" s="2" t="n"/>
      <c r="B70" s="2" t="n"/>
      <c r="C70" s="2" t="n"/>
      <c r="D70" s="2" t="n"/>
      <c r="E70" s="2" t="n"/>
      <c r="F70" s="2" t="n"/>
      <c r="G70" s="2" t="n"/>
      <c r="H70" s="2" t="n"/>
      <c r="I70" s="2" t="n"/>
      <c r="J70" s="2" t="n"/>
    </row>
    <row r="71">
      <c r="A71" s="2" t="n"/>
      <c r="B71" s="2" t="n"/>
      <c r="C71" s="2" t="n"/>
      <c r="D71" s="2" t="n"/>
      <c r="E71" s="2" t="n"/>
      <c r="F71" s="2" t="n"/>
      <c r="G71" s="2" t="n"/>
      <c r="H71" s="2" t="n"/>
      <c r="I71" s="2" t="n"/>
      <c r="J71" s="2" t="n"/>
    </row>
    <row r="72">
      <c r="A72" s="2" t="n"/>
      <c r="B72" s="2" t="n"/>
      <c r="C72" s="2" t="n"/>
      <c r="D72" s="2" t="n"/>
      <c r="E72" s="2" t="n"/>
      <c r="F72" s="2" t="n"/>
      <c r="G72" s="2" t="n"/>
      <c r="H72" s="2" t="n"/>
      <c r="I72" s="2" t="n"/>
      <c r="J72" s="2" t="n"/>
    </row>
    <row r="73">
      <c r="A73" s="2" t="n"/>
      <c r="B73" s="2" t="n"/>
      <c r="C73" s="2" t="n"/>
      <c r="D73" s="2" t="n"/>
      <c r="E73" s="2" t="n"/>
      <c r="F73" s="2" t="n"/>
      <c r="G73" s="2" t="n"/>
      <c r="H73" s="2" t="n"/>
      <c r="I73" s="2" t="n"/>
      <c r="J73" s="2" t="n"/>
    </row>
    <row r="74">
      <c r="A74" s="2" t="n"/>
      <c r="B74" s="2" t="n"/>
      <c r="C74" s="2" t="n"/>
      <c r="D74" s="2" t="n"/>
      <c r="E74" s="2" t="n"/>
      <c r="F74" s="2" t="n"/>
      <c r="G74" s="2" t="n"/>
      <c r="H74" s="2" t="n"/>
      <c r="I74" s="2" t="n"/>
      <c r="J74" s="2" t="n"/>
    </row>
    <row r="75">
      <c r="A75" s="2" t="n"/>
      <c r="B75" s="2" t="n"/>
      <c r="C75" s="2" t="n"/>
      <c r="D75" s="2" t="n"/>
      <c r="E75" s="2" t="n"/>
      <c r="F75" s="2" t="n"/>
      <c r="G75" s="2" t="n"/>
      <c r="H75" s="2" t="n"/>
      <c r="I75" s="2" t="n"/>
      <c r="J75" s="2" t="n"/>
    </row>
    <row r="76">
      <c r="A76" s="2" t="n"/>
      <c r="B76" s="2" t="n"/>
      <c r="C76" s="2" t="n"/>
      <c r="D76" s="2" t="n"/>
      <c r="E76" s="2" t="n"/>
      <c r="F76" s="2" t="n"/>
      <c r="G76" s="2" t="n"/>
      <c r="H76" s="2" t="n"/>
      <c r="I76" s="2" t="n"/>
      <c r="J76" s="2" t="n"/>
    </row>
    <row r="77">
      <c r="A77" s="2" t="n"/>
      <c r="B77" s="2" t="n"/>
      <c r="C77" s="2" t="n"/>
      <c r="D77" s="2" t="n"/>
      <c r="E77" s="2" t="n"/>
      <c r="F77" s="2" t="n"/>
      <c r="G77" s="2" t="n"/>
      <c r="H77" s="2" t="n"/>
      <c r="I77" s="2" t="n"/>
      <c r="J77" s="2" t="n"/>
    </row>
    <row r="78">
      <c r="A78" s="2" t="n"/>
      <c r="B78" s="2" t="n"/>
      <c r="C78" s="2" t="n"/>
      <c r="D78" s="2" t="n"/>
      <c r="E78" s="2" t="n"/>
      <c r="F78" s="2" t="n"/>
      <c r="G78" s="2" t="n"/>
      <c r="H78" s="2" t="n"/>
      <c r="I78" s="2" t="n"/>
      <c r="J78" s="2" t="n"/>
    </row>
    <row r="79">
      <c r="A79" s="2" t="n"/>
      <c r="B79" s="2" t="n"/>
      <c r="C79" s="2" t="n"/>
      <c r="D79" s="2" t="n"/>
      <c r="E79" s="2" t="n"/>
      <c r="F79" s="2" t="n"/>
      <c r="G79" s="2" t="n"/>
      <c r="H79" s="2" t="n"/>
      <c r="I79" s="2" t="n"/>
      <c r="J79" s="2" t="n"/>
    </row>
    <row r="80">
      <c r="A80" s="2" t="n"/>
      <c r="B80" s="2" t="n"/>
      <c r="C80" s="2" t="n"/>
      <c r="D80" s="2" t="n"/>
      <c r="E80" s="2" t="n"/>
      <c r="F80" s="2" t="n"/>
      <c r="G80" s="2" t="n"/>
      <c r="H80" s="2" t="n"/>
      <c r="I80" s="2" t="n"/>
      <c r="J80" s="2" t="n"/>
    </row>
    <row r="81">
      <c r="A81" s="2" t="n"/>
      <c r="B81" s="2" t="n"/>
      <c r="C81" s="2" t="n"/>
      <c r="D81" s="2" t="n"/>
      <c r="E81" s="2" t="n"/>
      <c r="F81" s="2" t="n"/>
      <c r="G81" s="2" t="n"/>
      <c r="H81" s="2" t="n"/>
      <c r="I81" s="2" t="n"/>
      <c r="J81" s="2" t="n"/>
    </row>
    <row r="82">
      <c r="A82" s="2" t="n"/>
      <c r="B82" s="2" t="n"/>
      <c r="C82" s="2" t="n"/>
      <c r="D82" s="2" t="n"/>
      <c r="E82" s="2" t="n"/>
      <c r="F82" s="2" t="n"/>
      <c r="G82" s="2" t="n"/>
      <c r="H82" s="2" t="n"/>
      <c r="I82" s="2" t="n"/>
      <c r="J82" s="2" t="n"/>
    </row>
    <row r="83">
      <c r="A83" s="2" t="n"/>
      <c r="B83" s="2" t="n"/>
      <c r="C83" s="2" t="n"/>
      <c r="D83" s="2" t="n"/>
      <c r="E83" s="2" t="n"/>
      <c r="F83" s="2" t="n"/>
      <c r="G83" s="2" t="n"/>
      <c r="H83" s="2" t="n"/>
      <c r="I83" s="2" t="n"/>
      <c r="J83" s="2" t="n"/>
    </row>
    <row r="84">
      <c r="A84" s="2" t="n"/>
      <c r="B84" s="2" t="n"/>
      <c r="C84" s="2" t="n"/>
      <c r="D84" s="2" t="n"/>
      <c r="E84" s="2" t="n"/>
      <c r="F84" s="2" t="n"/>
      <c r="G84" s="2" t="n"/>
      <c r="H84" s="2" t="n"/>
      <c r="I84" s="2" t="n"/>
      <c r="J84" s="2" t="n"/>
    </row>
    <row r="85">
      <c r="A85" s="2" t="n"/>
      <c r="B85" s="2" t="n"/>
      <c r="C85" s="2" t="n"/>
      <c r="D85" s="2" t="n"/>
      <c r="E85" s="2" t="n"/>
      <c r="F85" s="2" t="n"/>
      <c r="G85" s="2" t="n"/>
      <c r="H85" s="2" t="n"/>
      <c r="I85" s="2" t="n"/>
      <c r="J85" s="2" t="n"/>
    </row>
    <row r="86">
      <c r="A86" s="2" t="n"/>
      <c r="B86" s="2" t="n"/>
      <c r="C86" s="2" t="n"/>
      <c r="D86" s="2" t="n"/>
      <c r="E86" s="2" t="n"/>
      <c r="F86" s="2" t="n"/>
      <c r="G86" s="2" t="n"/>
      <c r="H86" s="2" t="n"/>
      <c r="I86" s="2" t="n"/>
      <c r="J86" s="2" t="n"/>
    </row>
    <row r="87">
      <c r="A87" s="2" t="n"/>
      <c r="B87" s="2" t="n"/>
      <c r="C87" s="2" t="n"/>
      <c r="D87" s="2" t="n"/>
      <c r="E87" s="2" t="n"/>
      <c r="F87" s="2" t="n"/>
      <c r="G87" s="2" t="n"/>
      <c r="H87" s="2" t="n"/>
      <c r="I87" s="2" t="n"/>
      <c r="J87" s="2" t="n"/>
    </row>
    <row r="88">
      <c r="A88" s="2" t="n"/>
      <c r="B88" s="2" t="n"/>
      <c r="C88" s="2" t="n"/>
      <c r="D88" s="2" t="n"/>
      <c r="E88" s="2" t="n"/>
      <c r="F88" s="2" t="n"/>
      <c r="G88" s="2" t="n"/>
      <c r="H88" s="2" t="n"/>
      <c r="I88" s="2" t="n"/>
      <c r="J88" s="2" t="n"/>
    </row>
    <row r="89">
      <c r="A89" s="2" t="n"/>
      <c r="B89" s="2" t="n"/>
      <c r="C89" s="2" t="n"/>
      <c r="D89" s="2" t="n"/>
      <c r="E89" s="2" t="n"/>
      <c r="F89" s="2" t="n"/>
      <c r="G89" s="2" t="n"/>
      <c r="H89" s="2" t="n"/>
      <c r="I89" s="2" t="n"/>
      <c r="J89" s="2" t="n"/>
    </row>
    <row r="90">
      <c r="A90" s="2" t="n"/>
      <c r="B90" s="2" t="n"/>
      <c r="C90" s="2" t="n"/>
      <c r="D90" s="2" t="n"/>
      <c r="E90" s="2" t="n"/>
      <c r="F90" s="2" t="n"/>
      <c r="G90" s="2" t="n"/>
      <c r="H90" s="2" t="n"/>
      <c r="I90" s="2" t="n"/>
      <c r="J90" s="2" t="n"/>
    </row>
    <row r="91">
      <c r="A91" s="2" t="n"/>
      <c r="B91" s="2" t="n"/>
      <c r="C91" s="2" t="n"/>
      <c r="D91" s="2" t="n"/>
      <c r="E91" s="2" t="n"/>
      <c r="F91" s="2" t="n"/>
      <c r="G91" s="2" t="n"/>
      <c r="H91" s="2" t="n"/>
      <c r="I91" s="2" t="n"/>
      <c r="J91" s="2" t="n"/>
    </row>
    <row r="92">
      <c r="A92" s="2" t="n"/>
      <c r="B92" s="2" t="n"/>
      <c r="C92" s="2" t="n"/>
      <c r="D92" s="2" t="n"/>
      <c r="E92" s="2" t="n"/>
      <c r="F92" s="2" t="n"/>
      <c r="G92" s="2" t="n"/>
      <c r="H92" s="2" t="n"/>
      <c r="I92" s="2" t="n"/>
      <c r="J92" s="2" t="n"/>
    </row>
    <row r="93">
      <c r="A93" s="2" t="n"/>
      <c r="B93" s="2" t="n"/>
      <c r="C93" s="2" t="n"/>
      <c r="D93" s="2" t="n"/>
      <c r="E93" s="2" t="n"/>
      <c r="F93" s="2" t="n"/>
      <c r="G93" s="2" t="n"/>
      <c r="H93" s="2" t="n"/>
      <c r="I93" s="2" t="n"/>
      <c r="J93" s="2" t="n"/>
    </row>
    <row r="94">
      <c r="A94" s="2" t="n"/>
      <c r="B94" s="2" t="n"/>
      <c r="C94" s="2" t="n"/>
      <c r="D94" s="2" t="n"/>
      <c r="E94" s="2" t="n"/>
      <c r="F94" s="2" t="n"/>
      <c r="G94" s="2" t="n"/>
      <c r="H94" s="2" t="n"/>
      <c r="I94" s="2" t="n"/>
      <c r="J94" s="2" t="n"/>
    </row>
    <row r="95">
      <c r="A95" s="2" t="n"/>
      <c r="B95" s="2" t="n"/>
      <c r="C95" s="2" t="n"/>
      <c r="D95" s="2" t="n"/>
      <c r="E95" s="2" t="n"/>
      <c r="F95" s="2" t="n"/>
      <c r="G95" s="2" t="n"/>
      <c r="H95" s="2" t="n"/>
      <c r="I95" s="2" t="n"/>
      <c r="J95" s="2" t="n"/>
    </row>
    <row r="96">
      <c r="A96" s="2" t="n"/>
      <c r="B96" s="2" t="n"/>
      <c r="C96" s="2" t="n"/>
      <c r="D96" s="2" t="n"/>
      <c r="E96" s="2" t="n"/>
      <c r="F96" s="2" t="n"/>
      <c r="G96" s="2" t="n"/>
      <c r="H96" s="2" t="n"/>
      <c r="I96" s="2" t="n"/>
      <c r="J96" s="2" t="n"/>
    </row>
    <row r="97">
      <c r="A97" s="2" t="n"/>
      <c r="B97" s="2" t="n"/>
      <c r="C97" s="2" t="n"/>
      <c r="D97" s="2" t="n"/>
      <c r="E97" s="2" t="n"/>
      <c r="F97" s="2" t="n"/>
      <c r="G97" s="2" t="n"/>
      <c r="H97" s="2" t="n"/>
      <c r="I97" s="2" t="n"/>
      <c r="J97" s="2" t="n"/>
    </row>
    <row r="98">
      <c r="A98" s="2" t="n"/>
      <c r="B98" s="2" t="n"/>
      <c r="C98" s="2" t="n"/>
      <c r="D98" s="2" t="n"/>
      <c r="E98" s="2" t="n"/>
      <c r="F98" s="2" t="n"/>
      <c r="G98" s="2" t="n"/>
      <c r="H98" s="2" t="n"/>
      <c r="I98" s="2" t="n"/>
      <c r="J98" s="2" t="n"/>
    </row>
    <row r="99">
      <c r="A99" s="2" t="n"/>
      <c r="B99" s="2" t="n"/>
      <c r="C99" s="2" t="n"/>
      <c r="D99" s="2" t="n"/>
      <c r="E99" s="2" t="n"/>
      <c r="F99" s="2" t="n"/>
      <c r="G99" s="2" t="n"/>
      <c r="H99" s="2" t="n"/>
      <c r="I99" s="2" t="n"/>
      <c r="J99" s="2" t="n"/>
    </row>
    <row r="100">
      <c r="A100" s="2" t="n"/>
      <c r="B100" s="2" t="n"/>
      <c r="C100" s="2" t="n"/>
      <c r="D100" s="2" t="n"/>
      <c r="E100" s="2" t="n"/>
      <c r="F100" s="2" t="n"/>
      <c r="G100" s="2" t="n"/>
      <c r="H100" s="2" t="n"/>
      <c r="I100" s="2" t="n"/>
      <c r="J100" s="2" t="n"/>
    </row>
    <row r="101">
      <c r="A101" s="2" t="n"/>
      <c r="B101" s="2" t="n"/>
      <c r="C101" s="2" t="n"/>
      <c r="D101" s="2" t="n"/>
      <c r="E101" s="2" t="n"/>
      <c r="F101" s="2" t="n"/>
      <c r="G101" s="2" t="n"/>
      <c r="H101" s="2" t="n"/>
      <c r="I101" s="2" t="n"/>
      <c r="J101" s="2" t="n"/>
    </row>
    <row r="102">
      <c r="A102" s="2" t="n"/>
      <c r="B102" s="2" t="n"/>
      <c r="C102" s="2" t="n"/>
      <c r="D102" s="2" t="n"/>
      <c r="E102" s="2" t="n"/>
      <c r="F102" s="2" t="n"/>
      <c r="G102" s="2" t="n"/>
      <c r="H102" s="2" t="n"/>
      <c r="I102" s="2" t="n"/>
      <c r="J102" s="2" t="n"/>
    </row>
    <row r="103">
      <c r="A103" s="2" t="n"/>
      <c r="B103" s="2" t="n"/>
      <c r="C103" s="2" t="n"/>
      <c r="D103" s="2" t="n"/>
      <c r="E103" s="2" t="n"/>
      <c r="F103" s="2" t="n"/>
      <c r="G103" s="2" t="n"/>
      <c r="H103" s="2" t="n"/>
      <c r="I103" s="2" t="n"/>
      <c r="J103" s="2" t="n"/>
    </row>
    <row r="104">
      <c r="A104" s="2" t="n"/>
      <c r="B104" s="2" t="n"/>
      <c r="C104" s="2" t="n"/>
      <c r="D104" s="2" t="n"/>
      <c r="E104" s="2" t="n"/>
      <c r="F104" s="2" t="n"/>
      <c r="G104" s="2" t="n"/>
      <c r="H104" s="2" t="n"/>
      <c r="I104" s="2" t="n"/>
      <c r="J104" s="2" t="n"/>
    </row>
    <row r="105">
      <c r="A105" s="2" t="n"/>
      <c r="B105" s="2" t="n"/>
      <c r="C105" s="2" t="n"/>
      <c r="D105" s="2" t="n"/>
      <c r="E105" s="2" t="n"/>
      <c r="F105" s="2" t="n"/>
      <c r="G105" s="2" t="n"/>
      <c r="H105" s="2" t="n"/>
      <c r="I105" s="2" t="n"/>
      <c r="J105" s="2" t="n"/>
    </row>
    <row r="106">
      <c r="A106" s="2" t="n"/>
      <c r="B106" s="2" t="n"/>
      <c r="C106" s="2" t="n"/>
      <c r="D106" s="2" t="n"/>
      <c r="E106" s="2" t="n"/>
      <c r="F106" s="2" t="n"/>
      <c r="G106" s="2" t="n"/>
      <c r="H106" s="2" t="n"/>
      <c r="I106" s="2" t="n"/>
      <c r="J106" s="2" t="n"/>
    </row>
    <row r="107">
      <c r="A107" s="2" t="n"/>
      <c r="B107" s="2" t="n"/>
      <c r="C107" s="2" t="n"/>
      <c r="D107" s="2" t="n"/>
      <c r="E107" s="2" t="n"/>
      <c r="F107" s="2" t="n"/>
      <c r="G107" s="2" t="n"/>
      <c r="H107" s="2" t="n"/>
      <c r="I107" s="2" t="n"/>
      <c r="J107" s="2" t="n"/>
    </row>
    <row r="108">
      <c r="A108" s="2" t="n"/>
      <c r="B108" s="2" t="n"/>
      <c r="C108" s="2" t="n"/>
      <c r="D108" s="2" t="n"/>
      <c r="E108" s="2" t="n"/>
      <c r="F108" s="2" t="n"/>
      <c r="G108" s="2" t="n"/>
      <c r="H108" s="2" t="n"/>
      <c r="I108" s="2" t="n"/>
      <c r="J108" s="2" t="n"/>
    </row>
    <row r="109">
      <c r="A109" s="2" t="n"/>
      <c r="B109" s="2" t="n"/>
      <c r="C109" s="2" t="n"/>
      <c r="D109" s="2" t="n"/>
      <c r="E109" s="2" t="n"/>
      <c r="F109" s="2" t="n"/>
      <c r="G109" s="2" t="n"/>
      <c r="H109" s="2" t="n"/>
      <c r="I109" s="2" t="n"/>
      <c r="J109" s="2" t="n"/>
    </row>
    <row r="110">
      <c r="A110" s="2" t="n"/>
      <c r="B110" s="2" t="n"/>
      <c r="C110" s="2" t="n"/>
      <c r="D110" s="2" t="n"/>
      <c r="E110" s="2" t="n"/>
      <c r="F110" s="2" t="n"/>
      <c r="G110" s="2" t="n"/>
      <c r="H110" s="2" t="n"/>
      <c r="I110" s="2" t="n"/>
      <c r="J110" s="2" t="n"/>
    </row>
    <row r="111">
      <c r="A111" s="2" t="n"/>
      <c r="B111" s="2" t="n"/>
      <c r="C111" s="2" t="n"/>
      <c r="D111" s="2" t="n"/>
      <c r="E111" s="2" t="n"/>
      <c r="F111" s="2" t="n"/>
      <c r="G111" s="2" t="n"/>
      <c r="H111" s="2" t="n"/>
      <c r="I111" s="2" t="n"/>
      <c r="J111" s="2" t="n"/>
    </row>
    <row r="112">
      <c r="A112" s="2" t="n"/>
      <c r="B112" s="2" t="n"/>
      <c r="C112" s="2" t="n"/>
      <c r="D112" s="2" t="n"/>
      <c r="E112" s="2" t="n"/>
      <c r="F112" s="2" t="n"/>
      <c r="G112" s="2" t="n"/>
      <c r="H112" s="2" t="n"/>
      <c r="I112" s="2" t="n"/>
      <c r="J112" s="2" t="n"/>
    </row>
    <row r="113">
      <c r="A113" s="2" t="n"/>
      <c r="B113" s="2" t="n"/>
      <c r="C113" s="2" t="n"/>
      <c r="D113" s="2" t="n"/>
      <c r="E113" s="2" t="n"/>
      <c r="F113" s="2" t="n"/>
      <c r="G113" s="2" t="n"/>
      <c r="H113" s="2" t="n"/>
      <c r="I113" s="2" t="n"/>
      <c r="J113" s="2" t="n"/>
    </row>
    <row r="114">
      <c r="A114" s="2" t="n"/>
      <c r="B114" s="2" t="n"/>
      <c r="C114" s="2" t="n"/>
      <c r="D114" s="2" t="n"/>
      <c r="E114" s="2" t="n"/>
      <c r="F114" s="2" t="n"/>
      <c r="G114" s="2" t="n"/>
      <c r="H114" s="2" t="n"/>
      <c r="I114" s="2" t="n"/>
      <c r="J114" s="2" t="n"/>
    </row>
    <row r="115">
      <c r="A115" s="2" t="n"/>
      <c r="B115" s="2" t="n"/>
      <c r="C115" s="2" t="n"/>
      <c r="D115" s="2" t="n"/>
      <c r="E115" s="2" t="n"/>
      <c r="F115" s="2" t="n"/>
      <c r="G115" s="2" t="n"/>
      <c r="H115" s="2" t="n"/>
      <c r="I115" s="2" t="n"/>
      <c r="J115" s="2" t="n"/>
    </row>
    <row r="116">
      <c r="A116" s="2" t="n"/>
      <c r="B116" s="2" t="n"/>
      <c r="C116" s="2" t="n"/>
      <c r="D116" s="2" t="n"/>
      <c r="E116" s="2" t="n"/>
      <c r="F116" s="2" t="n"/>
      <c r="G116" s="2" t="n"/>
      <c r="H116" s="2" t="n"/>
      <c r="I116" s="2" t="n"/>
      <c r="J116" s="2" t="n"/>
    </row>
    <row r="117">
      <c r="A117" s="2" t="n"/>
      <c r="B117" s="2" t="n"/>
      <c r="C117" s="2" t="n"/>
      <c r="D117" s="2" t="n"/>
      <c r="E117" s="2" t="n"/>
      <c r="F117" s="2" t="n"/>
      <c r="G117" s="2" t="n"/>
      <c r="H117" s="2" t="n"/>
      <c r="I117" s="2" t="n"/>
      <c r="J117" s="2" t="n"/>
    </row>
    <row r="118">
      <c r="A118" s="2" t="n"/>
      <c r="B118" s="2" t="n"/>
      <c r="C118" s="2" t="n"/>
      <c r="D118" s="2" t="n"/>
      <c r="E118" s="2" t="n"/>
      <c r="F118" s="2" t="n"/>
      <c r="G118" s="2" t="n"/>
      <c r="H118" s="2" t="n"/>
      <c r="I118" s="2" t="n"/>
      <c r="J118" s="2" t="n"/>
    </row>
    <row r="119">
      <c r="A119" s="2" t="n"/>
      <c r="B119" s="2" t="n"/>
      <c r="C119" s="2" t="n"/>
      <c r="D119" s="2" t="n"/>
      <c r="E119" s="2" t="n"/>
      <c r="F119" s="2" t="n"/>
      <c r="G119" s="2" t="n"/>
      <c r="H119" s="2" t="n"/>
      <c r="I119" s="2" t="n"/>
      <c r="J119" s="2" t="n"/>
    </row>
    <row r="120">
      <c r="A120" s="2" t="n"/>
      <c r="B120" s="2" t="n"/>
      <c r="C120" s="2" t="n"/>
      <c r="D120" s="2" t="n"/>
      <c r="E120" s="2" t="n"/>
      <c r="F120" s="2" t="n"/>
      <c r="G120" s="2" t="n"/>
      <c r="H120" s="2" t="n"/>
      <c r="I120" s="2" t="n"/>
      <c r="J120" s="2" t="n"/>
    </row>
  </sheetData>
  <mergeCells count="8">
    <mergeCell ref="A2:F2"/>
    <mergeCell ref="A4:E4"/>
    <mergeCell ref="A44:C44"/>
    <mergeCell ref="A32:C32"/>
    <mergeCell ref="A52:E52"/>
    <mergeCell ref="A1:F1"/>
    <mergeCell ref="A22:C22"/>
    <mergeCell ref="A14: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2026-04-11T20:05:16Z</dcterms:created>
  <dcterms:modified xmlns:dcterms="http://purl.org/dc/terms/" xmlns:xsi="http://www.w3.org/2001/XMLSchema-instance" xsi:type="dcterms:W3CDTF">2026-04-11T20:05:16Z</dcterms:modified>
</cp:coreProperties>
</file>