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s" sheetId="3" state="visible" r:id="rId3"/>
    <sheet xmlns:r="http://schemas.openxmlformats.org/officeDocument/2006/relationships" name="Financials" sheetId="4" state="visible" r:id="rId4"/>
    <sheet xmlns:r="http://schemas.openxmlformats.org/officeDocument/2006/relationships" name="Risk Register" sheetId="5" state="visible" r:id="rId5"/>
    <sheet xmlns:r="http://schemas.openxmlformats.org/officeDocument/2006/relationships" name="Hist. Financi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$#,##0.00"/>
    <numFmt numFmtId="166" formatCode="$#,##0"/>
    <numFmt numFmtId="167" formatCode="0.0%"/>
    <numFmt numFmtId="168" formatCode="0.0&quot;x&quot;"/>
    <numFmt numFmtId="169" formatCode="+0.0%;-0.0%;0.0%"/>
  </numFmts>
  <fonts count="23">
    <font>
      <name val="Calibri"/>
      <family val="2"/>
      <color theme="1"/>
      <sz val="11"/>
      <scheme val="minor"/>
    </font>
    <font>
      <name val="Calibri"/>
      <b val="1"/>
      <color rgb="004A9FD4"/>
      <sz val="16"/>
    </font>
    <font>
      <name val="Calibri"/>
      <color rgb="006B7280"/>
      <sz val="9"/>
    </font>
    <font>
      <name val="Calibri"/>
      <b val="1"/>
      <color rgb="00FFFFFF"/>
      <sz val="28"/>
    </font>
    <font>
      <name val="Calibri"/>
      <color rgb="00FFFFFF"/>
      <sz val="10"/>
    </font>
    <font>
      <name val="Calibri"/>
      <b val="1"/>
      <color rgb="00F5C542"/>
      <sz val="11"/>
    </font>
    <font>
      <name val="Calibri"/>
      <b val="1"/>
      <color rgb="00FFFFFF"/>
      <sz val="10"/>
    </font>
    <font>
      <name val="Calibri"/>
      <color rgb="00FFFFFF"/>
      <sz val="9"/>
    </font>
    <font>
      <name val="Calibri"/>
      <i val="1"/>
      <color rgb="00F0F4F8"/>
      <sz val="9"/>
    </font>
    <font>
      <name val="Calibri"/>
      <b val="1"/>
      <color rgb="004A9FD4"/>
      <sz val="14"/>
    </font>
    <font>
      <name val="Calibri"/>
      <b val="1"/>
      <color rgb="00333333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b val="1"/>
      <color rgb="000D1B2A"/>
      <sz val="11"/>
    </font>
    <font>
      <name val="Calibri"/>
      <b val="1"/>
      <color rgb="000D1B2A"/>
      <sz val="9"/>
    </font>
    <font>
      <name val="Calibri"/>
      <b val="1"/>
      <color rgb="00333333"/>
      <sz val="9"/>
    </font>
    <font>
      <name val="Calibri"/>
      <b val="1"/>
      <color rgb="000D1B2A"/>
      <sz val="10"/>
    </font>
    <font>
      <name val="Calibri"/>
      <b val="1"/>
      <color rgb="00F5C542"/>
      <sz val="14"/>
    </font>
    <font>
      <name val="Calibri"/>
      <b val="1"/>
      <color rgb="00E03E3E"/>
      <sz val="14"/>
    </font>
    <font>
      <name val="Calibri"/>
      <color rgb="00F0F4F8"/>
      <sz val="9"/>
    </font>
    <font>
      <name val="Calibri"/>
      <color rgb="00F5C542"/>
      <sz val="9"/>
    </font>
    <font>
      <name val="Calibri"/>
      <b val="1"/>
      <color rgb="002E86AB"/>
      <sz val="13"/>
    </font>
    <font>
      <name val="Calibri"/>
      <i val="1"/>
      <color rgb="006B7280"/>
      <sz val="8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A2F4A"/>
      </patternFill>
    </fill>
    <fill>
      <patternFill patternType="solid">
        <fgColor rgb="00F5C542"/>
      </patternFill>
    </fill>
    <fill>
      <patternFill patternType="solid">
        <fgColor rgb="001E3A5F"/>
      </patternFill>
    </fill>
    <fill>
      <patternFill patternType="solid">
        <fgColor rgb="00FFFF99"/>
      </patternFill>
    </fill>
    <fill>
      <patternFill patternType="solid">
        <fgColor rgb="004A9FD4"/>
      </patternFill>
    </fill>
    <fill>
      <patternFill patternType="solid">
        <fgColor rgb="002EA04B"/>
      </patternFill>
    </fill>
    <fill>
      <patternFill patternType="solid">
        <fgColor rgb="00E03E3E"/>
      </patternFill>
    </fill>
    <fill>
      <patternFill patternType="solid">
        <fgColor rgb="003D1010"/>
      </patternFill>
    </fill>
  </fills>
  <borders count="2">
    <border>
      <left/>
      <right/>
      <top/>
      <bottom/>
      <diagonal/>
    </border>
    <border>
      <left style="thin">
        <color rgb="003A3F4B"/>
      </left>
      <right style="thin">
        <color rgb="003A3F4B"/>
      </right>
      <top style="thin">
        <color rgb="003A3F4B"/>
      </top>
      <bottom style="thin">
        <color rgb="003A3F4B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8" fillId="3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center"/>
    </xf>
    <xf numFmtId="164" fontId="10" fillId="6" borderId="0" applyAlignment="1" pivotButton="0" quotePrefix="0" xfId="0">
      <alignment horizontal="right" vertical="center"/>
    </xf>
    <xf numFmtId="165" fontId="10" fillId="6" borderId="0" applyAlignment="1" pivotButton="0" quotePrefix="0" xfId="0">
      <alignment horizontal="right" vertical="center"/>
    </xf>
    <xf numFmtId="166" fontId="10" fillId="6" borderId="0" applyAlignment="1" pivotButton="0" quotePrefix="0" xfId="0">
      <alignment horizontal="right" vertical="center"/>
    </xf>
    <xf numFmtId="167" fontId="10" fillId="6" borderId="0" applyAlignment="1" pivotButton="0" quotePrefix="0" xfId="0">
      <alignment horizontal="right" vertical="center"/>
    </xf>
    <xf numFmtId="2" fontId="10" fillId="6" borderId="0" applyAlignment="1" pivotButton="0" quotePrefix="0" xfId="0">
      <alignment horizontal="right" vertical="center"/>
    </xf>
    <xf numFmtId="168" fontId="10" fillId="6" borderId="0" applyAlignment="1" pivotButton="0" quotePrefix="0" xfId="0">
      <alignment horizontal="right" vertical="center"/>
    </xf>
    <xf numFmtId="0" fontId="11" fillId="7" borderId="1" applyAlignment="1" pivotButton="0" quotePrefix="0" xfId="0">
      <alignment horizontal="left" vertical="center"/>
    </xf>
    <xf numFmtId="167" fontId="7" fillId="2" borderId="1" applyAlignment="1" pivotButton="0" quotePrefix="0" xfId="0">
      <alignment horizontal="right" vertical="center"/>
    </xf>
    <xf numFmtId="165" fontId="7" fillId="2" borderId="1" applyAlignment="1" pivotButton="0" quotePrefix="0" xfId="0">
      <alignment horizontal="right" vertical="center"/>
    </xf>
    <xf numFmtId="169" fontId="7" fillId="2" borderId="1" applyAlignment="1" pivotButton="0" quotePrefix="0" xfId="0">
      <alignment horizontal="right" vertical="center"/>
    </xf>
    <xf numFmtId="166" fontId="7" fillId="2" borderId="1" applyAlignment="1" pivotButton="0" quotePrefix="0" xfId="0">
      <alignment horizontal="righ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9" fontId="14" fillId="4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167" fontId="15" fillId="6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166" fontId="7" fillId="5" borderId="1" applyAlignment="1" pivotButton="0" quotePrefix="0" xfId="0">
      <alignment horizontal="right" vertical="center"/>
    </xf>
    <xf numFmtId="166" fontId="11" fillId="7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14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right" vertical="center"/>
    </xf>
    <xf numFmtId="0" fontId="16" fillId="4" borderId="0" applyAlignment="1" pivotButton="0" quotePrefix="0" xfId="0">
      <alignment horizontal="left" vertical="center"/>
    </xf>
    <xf numFmtId="0" fontId="16" fillId="4" borderId="0" applyAlignment="1" pivotButton="0" quotePrefix="0" xfId="0">
      <alignment horizontal="right" vertical="center"/>
    </xf>
    <xf numFmtId="0" fontId="17" fillId="3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  <xf numFmtId="0" fontId="19" fillId="10" borderId="0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0" fontId="20" fillId="2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FD4"/>
    <outlinePr summaryBelow="1" summaryRight="1"/>
    <pageSetUpPr/>
  </sheetPr>
  <dimension ref="A1:P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</cols>
  <sheetData>
    <row r="1" ht="28" customHeight="1">
      <c r="A1" s="1" t="inlineStr">
        <is>
          <t>ZM (ZM)  —  INVESTMENT SUMMARY</t>
        </is>
      </c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Generated: April 11, 2026  |  Analyst: Proprietary Research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4" t="inlineStr">
        <is>
          <t>HOLD</t>
        </is>
      </c>
      <c r="C4" s="3" t="inlineStr">
        <is>
          <t>Current Price</t>
        </is>
      </c>
      <c r="D4" s="5" t="inlineStr">
        <is>
          <t>$83.23</t>
        </is>
      </c>
      <c r="E4" s="3" t="inlineStr">
        <is>
          <t>DCF Expected Return</t>
        </is>
      </c>
      <c r="F4" s="5" t="inlineStr">
        <is>
          <t>-11.5%</t>
        </is>
      </c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4" customHeight="1">
      <c r="C5" s="3" t="inlineStr">
        <is>
          <t>12M Price Target</t>
        </is>
      </c>
      <c r="D5" s="5" t="inlineStr">
        <is>
          <t>$82</t>
        </is>
      </c>
      <c r="E5" s="3" t="inlineStr">
        <is>
          <t>Analyst Mean Target</t>
        </is>
      </c>
      <c r="F5" s="5" t="inlineStr">
        <is>
          <t>N/A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3" t="inlineStr">
        <is>
          <t>Expected Return</t>
        </is>
      </c>
      <c r="D6" s="5" t="inlineStr">
        <is>
          <t>-1.5%</t>
        </is>
      </c>
      <c r="E6" s="3" t="inlineStr">
        <is>
          <t># Sell-side Analysts</t>
        </is>
      </c>
      <c r="F6" s="5" t="inlineStr">
        <is>
          <t>N/A</t>
        </is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2" t="n"/>
      <c r="C7" s="3" t="inlineStr">
        <is>
          <t>Conviction Level</t>
        </is>
      </c>
      <c r="D7" s="5" t="inlineStr">
        <is>
          <t>2/5</t>
        </is>
      </c>
      <c r="E7" s="3" t="inlineStr">
        <is>
          <t>Quality Score</t>
        </is>
      </c>
      <c r="F7" s="5" t="inlineStr">
        <is>
          <t>4.6/10</t>
        </is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2" t="n"/>
      <c r="C8" s="3" t="inlineStr">
        <is>
          <t>DCF Expected Value</t>
        </is>
      </c>
      <c r="D8" s="5" t="inlineStr">
        <is>
          <t>$73.64</t>
        </is>
      </c>
      <c r="E8" s="3" t="inlineStr">
        <is>
          <t>Sector</t>
        </is>
      </c>
      <c r="F8" s="5" t="inlineStr">
        <is>
          <t>—</t>
        </is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6" t="inlineStr">
        <is>
          <t>MARKET VALUATION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7" t="inlineStr">
        <is>
          <t>Metric</t>
        </is>
      </c>
      <c r="B11" s="7" t="inlineStr">
        <is>
          <t>Current</t>
        </is>
      </c>
      <c r="C11" s="7" t="inlineStr">
        <is>
          <t>Metric</t>
        </is>
      </c>
      <c r="D11" s="7" t="inlineStr">
        <is>
          <t>Current</t>
        </is>
      </c>
      <c r="E11" s="7" t="inlineStr">
        <is>
          <t>Metric</t>
        </is>
      </c>
      <c r="F11" s="7" t="inlineStr">
        <is>
          <t>Current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8" t="inlineStr">
        <is>
          <t>Trailing P/E</t>
        </is>
      </c>
      <c r="B12" s="9" t="inlineStr">
        <is>
          <t>—x</t>
        </is>
      </c>
      <c r="C12" s="9" t="inlineStr">
        <is>
          <t>Forward P/E</t>
        </is>
      </c>
      <c r="D12" s="9" t="inlineStr">
        <is>
          <t>—x</t>
        </is>
      </c>
      <c r="E12" s="9" t="inlineStr">
        <is>
          <t>EV/EBITDA</t>
        </is>
      </c>
      <c r="F12" s="9" t="inlineStr">
        <is>
          <t>—x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10" t="inlineStr">
        <is>
          <t>EV/Revenue</t>
        </is>
      </c>
      <c r="B13" s="11" t="inlineStr">
        <is>
          <t>—x</t>
        </is>
      </c>
      <c r="C13" s="11" t="inlineStr">
        <is>
          <t>Price/Book</t>
        </is>
      </c>
      <c r="D13" s="11" t="inlineStr">
        <is>
          <t>—x</t>
        </is>
      </c>
      <c r="E13" s="11" t="inlineStr">
        <is>
          <t>FCF Yield</t>
        </is>
      </c>
      <c r="F13" s="11" t="inlineStr">
        <is>
          <t>—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6" t="inlineStr">
        <is>
          <t>PROFITABILITY &amp; RETURNS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7" t="inlineStr">
        <is>
          <t>Metric</t>
        </is>
      </c>
      <c r="B16" s="7" t="inlineStr">
        <is>
          <t>Value</t>
        </is>
      </c>
      <c r="C16" s="7" t="inlineStr">
        <is>
          <t>Metric</t>
        </is>
      </c>
      <c r="D16" s="7" t="inlineStr">
        <is>
          <t>Value</t>
        </is>
      </c>
      <c r="E16" s="7" t="inlineStr">
        <is>
          <t>Metric</t>
        </is>
      </c>
      <c r="F16" s="7" t="inlineStr">
        <is>
          <t>Value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10" t="inlineStr">
        <is>
          <t>Gross Margin</t>
        </is>
      </c>
      <c r="B17" s="11" t="inlineStr">
        <is>
          <t>—</t>
        </is>
      </c>
      <c r="C17" s="11" t="inlineStr">
        <is>
          <t>Operating Margin</t>
        </is>
      </c>
      <c r="D17" s="11" t="inlineStr">
        <is>
          <t>—</t>
        </is>
      </c>
      <c r="E17" s="11" t="inlineStr">
        <is>
          <t>Net Margin</t>
        </is>
      </c>
      <c r="F17" s="11" t="inlineStr">
        <is>
          <t>—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8" t="inlineStr">
        <is>
          <t>Return on Equity</t>
        </is>
      </c>
      <c r="B18" s="9" t="inlineStr">
        <is>
          <t>—</t>
        </is>
      </c>
      <c r="C18" s="9" t="inlineStr">
        <is>
          <t>Return on Assets</t>
        </is>
      </c>
      <c r="D18" s="9" t="inlineStr">
        <is>
          <t>—</t>
        </is>
      </c>
      <c r="E18" s="9" t="inlineStr">
        <is>
          <t>Revenue TTM</t>
        </is>
      </c>
      <c r="F18" s="9" t="inlineStr">
        <is>
          <t>$4.9B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6" t="inlineStr">
        <is>
          <t>VARIANT VIEW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 ht="80" customHeight="1">
      <c r="A21" s="12" t="inlineStr">
        <is>
          <t>ZM's headline 8% FCF yield ($1,964mm) masks a 4.9% SBC-adjusted yield ($1,203mm) — not cheap for 4.4% revenue growth. The 22% EV/EBITDA premium to peers (7.68x vs 6.29x median) is unearned, but $7.8B net cash (32% of market cap) makes shorting equally unattractive.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</sheetData>
  <mergeCells count="7">
    <mergeCell ref="A21:F24"/>
    <mergeCell ref="A4:B5"/>
    <mergeCell ref="A10:F10"/>
    <mergeCell ref="A2:H2"/>
    <mergeCell ref="A1:H1"/>
    <mergeCell ref="A20:F20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A04B"/>
    <outlinePr summaryBelow="1" summaryRight="1"/>
    <pageSetUpPr/>
  </sheetPr>
  <dimension ref="A1:N9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3" t="inlineStr">
        <is>
          <t>ZM — DISCOUNTED CASH FLOW MODEL</t>
        </is>
      </c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KEY ASSUMPTIONS  (edit yellow cells to update model)</t>
        </is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Shares Outstanding (mm)</t>
        </is>
      </c>
      <c r="B4" s="14" t="n">
        <v>294.66689</v>
      </c>
      <c r="C4" s="2" t="n"/>
      <c r="D4" s="2" t="n"/>
      <c r="E4" s="3" t="inlineStr">
        <is>
          <t>Current Price ($)</t>
        </is>
      </c>
      <c r="F4" s="15" t="n">
        <v>83.23</v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3" t="inlineStr">
        <is>
          <t>Net Debt ($mm)</t>
        </is>
      </c>
      <c r="B5" s="16" t="n">
        <v>-7758.433</v>
      </c>
      <c r="C5" s="2" t="n"/>
      <c r="D5" s="2" t="n"/>
      <c r="E5" s="3" t="inlineStr">
        <is>
          <t>Market Cap ($mm)</t>
        </is>
      </c>
      <c r="F5" s="16" t="n">
        <v>24525.12</v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Base Revenue ($mm)</t>
        </is>
      </c>
      <c r="B6" s="16" t="n">
        <v>4868.769</v>
      </c>
      <c r="C6" s="2" t="n"/>
      <c r="D6" s="2" t="n"/>
      <c r="E6" s="3" t="inlineStr">
        <is>
          <t>WACC</t>
        </is>
      </c>
      <c r="F6" s="17" t="n">
        <v>0.0955</v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Risk-Free Rate</t>
        </is>
      </c>
      <c r="B7" s="17" t="n">
        <v>0.04291</v>
      </c>
      <c r="C7" s="2" t="n"/>
      <c r="D7" s="2" t="n"/>
      <c r="E7" s="3" t="inlineStr">
        <is>
          <t>ERP</t>
        </is>
      </c>
      <c r="F7" s="17" t="n">
        <v>0.055</v>
      </c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Beta</t>
        </is>
      </c>
      <c r="B8" s="18" t="n">
        <v>0.87</v>
      </c>
      <c r="C8" s="2" t="n"/>
      <c r="D8" s="2" t="n"/>
      <c r="E8" s="3" t="inlineStr">
        <is>
          <t>Tax Rate</t>
        </is>
      </c>
      <c r="F8" s="17" t="n">
        <v>0.21</v>
      </c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3" t="inlineStr">
        <is>
          <t>Terminal Growth Rate</t>
        </is>
      </c>
      <c r="B9" s="17" t="n">
        <v>0.025</v>
      </c>
      <c r="C9" s="2" t="n"/>
      <c r="D9" s="2" t="n"/>
      <c r="E9" s="3" t="inlineStr">
        <is>
          <t>Exit EV/EBITDA Multiple</t>
        </is>
      </c>
      <c r="F9" s="19" t="n">
        <v>7.5</v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6" t="inlineStr">
        <is>
          <t>SCENARIO COMPARISON</t>
        </is>
      </c>
      <c r="I11" s="2" t="n"/>
      <c r="J11" s="2" t="n"/>
      <c r="K11" s="2" t="n"/>
      <c r="L11" s="2" t="n"/>
      <c r="M11" s="2" t="n"/>
      <c r="N11" s="2" t="n"/>
    </row>
    <row r="12">
      <c r="A12" s="7" t="inlineStr"/>
      <c r="B12" s="7" t="inlineStr">
        <is>
          <t>Probability</t>
        </is>
      </c>
      <c r="C12" s="7" t="inlineStr">
        <is>
          <t>Implied Price</t>
        </is>
      </c>
      <c r="D12" s="7" t="inlineStr">
        <is>
          <t>Upside/Downside</t>
        </is>
      </c>
      <c r="E12" s="7" t="inlineStr">
        <is>
          <t>PV Explicit FCF</t>
        </is>
      </c>
      <c r="F12" s="7" t="inlineStr">
        <is>
          <t>PV Terminal Value</t>
        </is>
      </c>
      <c r="G12" s="7" t="inlineStr">
        <is>
          <t>Enterprise Value</t>
        </is>
      </c>
      <c r="H12" s="7" t="inlineStr">
        <is>
          <t>TV as % of EV</t>
        </is>
      </c>
      <c r="I12" s="2" t="n"/>
      <c r="J12" s="2" t="n"/>
      <c r="K12" s="2" t="n"/>
      <c r="L12" s="2" t="n"/>
      <c r="M12" s="2" t="n"/>
      <c r="N12" s="2" t="n"/>
    </row>
    <row r="13">
      <c r="A13" s="20" t="inlineStr">
        <is>
          <t>Base Case</t>
        </is>
      </c>
      <c r="B13" s="21" t="n">
        <v>0.5</v>
      </c>
      <c r="C13" s="22" t="n">
        <v>75.58</v>
      </c>
      <c r="D13" s="23" t="n">
        <v>-0.092</v>
      </c>
      <c r="E13" s="24" t="n">
        <v>3853.9</v>
      </c>
      <c r="F13" s="24" t="n">
        <v>10658.8</v>
      </c>
      <c r="G13" s="24" t="n">
        <v>14512.7</v>
      </c>
      <c r="H13" s="21">
        <f>IFERROR(F13/G13,0)</f>
        <v/>
      </c>
      <c r="I13" s="2" t="n"/>
      <c r="J13" s="2" t="n"/>
      <c r="K13" s="2" t="n"/>
      <c r="L13" s="2" t="n"/>
      <c r="M13" s="2" t="n"/>
      <c r="N13" s="2" t="n"/>
    </row>
    <row r="14">
      <c r="A14" s="25" t="inlineStr">
        <is>
          <t>Bull Case</t>
        </is>
      </c>
      <c r="B14" s="21" t="n">
        <v>0.25</v>
      </c>
      <c r="C14" s="22" t="n">
        <v>90.7</v>
      </c>
      <c r="D14" s="23" t="n">
        <v>0.09</v>
      </c>
      <c r="E14" s="24" t="n">
        <v>4407.3</v>
      </c>
      <c r="F14" s="24" t="n">
        <v>14560</v>
      </c>
      <c r="G14" s="24" t="n">
        <v>18967.3</v>
      </c>
      <c r="H14" s="21">
        <f>IFERROR(F14/G14,0)</f>
        <v/>
      </c>
      <c r="I14" s="2" t="n"/>
      <c r="J14" s="2" t="n"/>
      <c r="K14" s="2" t="n"/>
      <c r="L14" s="2" t="n"/>
      <c r="M14" s="2" t="n"/>
      <c r="N14" s="2" t="n"/>
    </row>
    <row r="15">
      <c r="A15" s="26" t="inlineStr">
        <is>
          <t>Bear Case</t>
        </is>
      </c>
      <c r="B15" s="21" t="n">
        <v>0.25</v>
      </c>
      <c r="C15" s="22" t="n">
        <v>52.69</v>
      </c>
      <c r="D15" s="23" t="n">
        <v>-0.367</v>
      </c>
      <c r="E15" s="24" t="n">
        <v>2834.5</v>
      </c>
      <c r="F15" s="24" t="n">
        <v>4931.6</v>
      </c>
      <c r="G15" s="24" t="n">
        <v>7766.1</v>
      </c>
      <c r="H15" s="21">
        <f>IFERROR(F15/G15,0)</f>
        <v/>
      </c>
      <c r="I15" s="2" t="n"/>
      <c r="J15" s="2" t="n"/>
      <c r="K15" s="2" t="n"/>
      <c r="L15" s="2" t="n"/>
      <c r="M15" s="2" t="n"/>
      <c r="N15" s="2" t="n"/>
    </row>
    <row r="16">
      <c r="A16" s="6" t="inlineStr">
        <is>
          <t>PROBABILITY-WEIGHTED EXPECTED VALUE</t>
        </is>
      </c>
      <c r="I16" s="2" t="n"/>
      <c r="J16" s="2" t="n"/>
      <c r="K16" s="2" t="n"/>
      <c r="L16" s="2" t="n"/>
      <c r="M16" s="2" t="n"/>
      <c r="N16" s="2" t="n"/>
    </row>
    <row r="17">
      <c r="A17" s="27" t="n"/>
      <c r="B17" s="27" t="n"/>
      <c r="C17" s="28">
        <f>C13*B13+C14*B14+C15*B15</f>
        <v/>
      </c>
      <c r="D17" s="29">
        <f>IFERROR(C17/F4-1,0)</f>
        <v/>
      </c>
      <c r="E17" s="27" t="n"/>
      <c r="F17" s="27" t="n"/>
      <c r="G17" s="27" t="n"/>
      <c r="H17" s="27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6" t="inlineStr">
        <is>
          <t>BASE CASE — YEAR-BY-YEAR MODEL  (formula-driven)</t>
        </is>
      </c>
      <c r="I19" s="2" t="n"/>
      <c r="J19" s="2" t="n"/>
      <c r="K19" s="2" t="n"/>
      <c r="L19" s="2" t="n"/>
      <c r="M19" s="2" t="n"/>
      <c r="N19" s="2" t="n"/>
    </row>
    <row r="20">
      <c r="A20" s="7" t="inlineStr"/>
      <c r="B20" s="7" t="inlineStr">
        <is>
          <t>Year 1</t>
        </is>
      </c>
      <c r="C20" s="7" t="inlineStr">
        <is>
          <t>Year 2</t>
        </is>
      </c>
      <c r="D20" s="7" t="inlineStr">
        <is>
          <t>Year 3</t>
        </is>
      </c>
      <c r="E20" s="7" t="inlineStr">
        <is>
          <t>Year 4</t>
        </is>
      </c>
      <c r="F20" s="7" t="inlineStr">
        <is>
          <t>Year 5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30" t="inlineStr">
        <is>
          <t>Revenue Growth (%)</t>
        </is>
      </c>
      <c r="B21" s="31" t="n">
        <v>0.042</v>
      </c>
      <c r="C21" s="31" t="n">
        <v>0.04</v>
      </c>
      <c r="D21" s="31" t="n">
        <v>0.038</v>
      </c>
      <c r="E21" s="31" t="n">
        <v>0.035</v>
      </c>
      <c r="F21" s="31" t="n">
        <v>0.03</v>
      </c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30" t="inlineStr">
        <is>
          <t>EBIT Margin (%)</t>
        </is>
      </c>
      <c r="B22" s="31" t="n">
        <v>0.235</v>
      </c>
      <c r="C22" s="31" t="n">
        <v>0.238</v>
      </c>
      <c r="D22" s="31" t="n">
        <v>0.24</v>
      </c>
      <c r="E22" s="31" t="n">
        <v>0.24</v>
      </c>
      <c r="F22" s="31" t="n">
        <v>0.24</v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0" t="inlineStr">
        <is>
          <t>D&amp;A (% of Revenue)</t>
        </is>
      </c>
      <c r="B23" s="31" t="n">
        <v>0.027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30" t="inlineStr">
        <is>
          <t>Capex (% of Revenue)</t>
        </is>
      </c>
      <c r="B24" s="31" t="n">
        <v>0.03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30" t="inlineStr">
        <is>
          <t>Tax Rate (%)</t>
        </is>
      </c>
      <c r="B25" s="31" t="n">
        <v>0.21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32" t="inlineStr">
        <is>
          <t>Revenue ($mm)</t>
        </is>
      </c>
      <c r="B27" s="24">
        <f>B6*(1+B21)</f>
        <v/>
      </c>
      <c r="C27" s="24">
        <f>B27*(1+C21)</f>
        <v/>
      </c>
      <c r="D27" s="24">
        <f>C27*(1+D21)</f>
        <v/>
      </c>
      <c r="E27" s="24">
        <f>D27*(1+E21)</f>
        <v/>
      </c>
      <c r="F27" s="24">
        <f>E27*(1+F21)</f>
        <v/>
      </c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33" t="inlineStr">
        <is>
          <t>EBITDA ($mm)</t>
        </is>
      </c>
      <c r="B28" s="34">
        <f>B27*(B22+$B$23)</f>
        <v/>
      </c>
      <c r="C28" s="34">
        <f>C27*(C22+$B$23)</f>
        <v/>
      </c>
      <c r="D28" s="34">
        <f>D27*(D22+$B$23)</f>
        <v/>
      </c>
      <c r="E28" s="34">
        <f>E27*(E22+$B$23)</f>
        <v/>
      </c>
      <c r="F28" s="34">
        <f>F27*(F22+$B$23)</f>
        <v/>
      </c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32" t="inlineStr">
        <is>
          <t>EBIT ($mm)</t>
        </is>
      </c>
      <c r="B29" s="24">
        <f>B27*B22</f>
        <v/>
      </c>
      <c r="C29" s="24">
        <f>C27*C22</f>
        <v/>
      </c>
      <c r="D29" s="24">
        <f>D27*D22</f>
        <v/>
      </c>
      <c r="E29" s="24">
        <f>E27*E22</f>
        <v/>
      </c>
      <c r="F29" s="24">
        <f>F27*F22</f>
        <v/>
      </c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33" t="inlineStr">
        <is>
          <t>FCF ($mm)</t>
        </is>
      </c>
      <c r="B30" s="34">
        <f>B29*(1-$B$25)+B27*$B$23-B27*$B$24</f>
        <v/>
      </c>
      <c r="C30" s="34">
        <f>C29*(1-$B$25)+C27*$B$23-C27*$B$24</f>
        <v/>
      </c>
      <c r="D30" s="34">
        <f>D29*(1-$B$25)+D27*$B$23-D27*$B$24</f>
        <v/>
      </c>
      <c r="E30" s="34">
        <f>E29*(1-$B$25)+E27*$B$23-E27*$B$24</f>
        <v/>
      </c>
      <c r="F30" s="34">
        <f>F29*(1-$B$25)+F27*$B$23-F27*$B$24</f>
        <v/>
      </c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32" t="inlineStr">
        <is>
          <t>PV of FCF ($mm)</t>
        </is>
      </c>
      <c r="B31" s="24">
        <f>B30/((1+F6)^1)</f>
        <v/>
      </c>
      <c r="C31" s="24">
        <f>C30/((1+F6)^2)</f>
        <v/>
      </c>
      <c r="D31" s="24">
        <f>D30/((1+F6)^3)</f>
        <v/>
      </c>
      <c r="E31" s="24">
        <f>E30/((1+F6)^4)</f>
        <v/>
      </c>
      <c r="F31" s="24">
        <f>F30/((1+F6)^5)</f>
        <v/>
      </c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0" t="inlineStr">
        <is>
          <t>Cumulative PV FCF ($mm)</t>
        </is>
      </c>
      <c r="B32" s="35">
        <f>SUM(B31:F31)</f>
        <v/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6" t="inlineStr">
        <is>
          <t>REVENUE GROWTH ASSUMPTIONS — ALL SCENARIOS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7" t="inlineStr">
        <is>
          <t>Scenario</t>
        </is>
      </c>
      <c r="B35" s="7" t="inlineStr">
        <is>
          <t>Year 1</t>
        </is>
      </c>
      <c r="C35" s="7" t="inlineStr">
        <is>
          <t>Year 2</t>
        </is>
      </c>
      <c r="D35" s="7" t="inlineStr">
        <is>
          <t>Year 3</t>
        </is>
      </c>
      <c r="E35" s="7" t="inlineStr">
        <is>
          <t>Year 4</t>
        </is>
      </c>
      <c r="F35" s="7" t="inlineStr">
        <is>
          <t>Year 5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0" t="inlineStr">
        <is>
          <t>Base Case</t>
        </is>
      </c>
      <c r="B36" s="21" t="n">
        <v>0.042</v>
      </c>
      <c r="C36" s="21" t="n">
        <v>0.04</v>
      </c>
      <c r="D36" s="21" t="n">
        <v>0.038</v>
      </c>
      <c r="E36" s="21" t="n">
        <v>0.035</v>
      </c>
      <c r="F36" s="21" t="n">
        <v>0.03</v>
      </c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5" t="inlineStr">
        <is>
          <t>Bull Case</t>
        </is>
      </c>
      <c r="B37" s="21" t="n">
        <v>0.055</v>
      </c>
      <c r="C37" s="21" t="n">
        <v>0.065</v>
      </c>
      <c r="D37" s="21" t="n">
        <v>0.07000000000000001</v>
      </c>
      <c r="E37" s="21" t="n">
        <v>0.06</v>
      </c>
      <c r="F37" s="21" t="n">
        <v>0.05</v>
      </c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6" t="inlineStr">
        <is>
          <t>Bear Case</t>
        </is>
      </c>
      <c r="B38" s="21" t="n">
        <v>0.03</v>
      </c>
      <c r="C38" s="21" t="n">
        <v>0.015</v>
      </c>
      <c r="D38" s="21" t="n">
        <v>-0.01</v>
      </c>
      <c r="E38" s="21" t="n">
        <v>-0.03</v>
      </c>
      <c r="F38" s="21" t="n">
        <v>-0.03</v>
      </c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6" t="inlineStr">
        <is>
          <t>SENSITIVITY TABLE — Implied Price ($) by WACC and Exit EV/EBITDA Multiple</t>
        </is>
      </c>
      <c r="I41" s="2" t="n"/>
      <c r="J41" s="2" t="n"/>
      <c r="K41" s="2" t="n"/>
      <c r="L41" s="2" t="n"/>
      <c r="M41" s="2" t="n"/>
      <c r="N41" s="2" t="n"/>
    </row>
    <row r="42">
      <c r="A42" s="7" t="inlineStr">
        <is>
          <t>WACC \ Exit</t>
        </is>
      </c>
      <c r="B42" s="7" t="inlineStr">
        <is>
          <t>11.5x</t>
        </is>
      </c>
      <c r="C42" s="7" t="inlineStr">
        <is>
          <t>3.5x</t>
        </is>
      </c>
      <c r="D42" s="7" t="inlineStr">
        <is>
          <t>5.5x</t>
        </is>
      </c>
      <c r="E42" s="7" t="inlineStr">
        <is>
          <t>7.5x</t>
        </is>
      </c>
      <c r="F42" s="7" t="inlineStr">
        <is>
          <t>9.5x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32" t="inlineStr">
        <is>
          <t>10.1%</t>
        </is>
      </c>
      <c r="B43" s="22" t="n">
        <v>83.27</v>
      </c>
      <c r="C43" s="22" t="n">
        <v>63.33</v>
      </c>
      <c r="D43" s="22" t="n">
        <v>68.31</v>
      </c>
      <c r="E43" s="22" t="n">
        <v>73.3</v>
      </c>
      <c r="F43" s="22" t="n">
        <v>78.28</v>
      </c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33" t="inlineStr">
        <is>
          <t>10.6%</t>
        </is>
      </c>
      <c r="B44" s="36" t="n">
        <v>81.18000000000001</v>
      </c>
      <c r="C44" s="36" t="n">
        <v>61.69</v>
      </c>
      <c r="D44" s="36" t="n">
        <v>66.56999999999999</v>
      </c>
      <c r="E44" s="36" t="n">
        <v>71.44</v>
      </c>
      <c r="F44" s="36" t="n">
        <v>76.31</v>
      </c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32" t="inlineStr">
        <is>
          <t>8.6%</t>
        </is>
      </c>
      <c r="B45" s="22" t="n">
        <v>90.97</v>
      </c>
      <c r="C45" s="22" t="n">
        <v>69.62</v>
      </c>
      <c r="D45" s="22" t="n">
        <v>74.95</v>
      </c>
      <c r="E45" s="22" t="n">
        <v>80.29000000000001</v>
      </c>
      <c r="F45" s="22" t="n">
        <v>85.63</v>
      </c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33" t="inlineStr">
        <is>
          <t>9.1%</t>
        </is>
      </c>
      <c r="B46" s="36" t="n">
        <v>88.11</v>
      </c>
      <c r="C46" s="36" t="n">
        <v>67.23999999999999</v>
      </c>
      <c r="D46" s="36" t="n">
        <v>72.45999999999999</v>
      </c>
      <c r="E46" s="36" t="n">
        <v>77.67</v>
      </c>
      <c r="F46" s="36" t="n">
        <v>82.89</v>
      </c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32" t="inlineStr">
        <is>
          <t>9.6%</t>
        </is>
      </c>
      <c r="B47" s="22" t="n">
        <v>85.56</v>
      </c>
      <c r="C47" s="22" t="n">
        <v>65.16</v>
      </c>
      <c r="D47" s="22" t="n">
        <v>70.26000000000001</v>
      </c>
      <c r="E47" s="22" t="n">
        <v>75.36</v>
      </c>
      <c r="F47" s="22" t="n">
        <v>80.45999999999999</v>
      </c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</sheetData>
  <mergeCells count="7">
    <mergeCell ref="A16:H16"/>
    <mergeCell ref="A41:H41"/>
    <mergeCell ref="A19:H19"/>
    <mergeCell ref="A11:H11"/>
    <mergeCell ref="A34:F34"/>
    <mergeCell ref="A1:H1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9FD4"/>
    <outlinePr summaryBelow="1" summaryRight="1"/>
    <pageSetUpPr/>
  </sheetPr>
  <dimension ref="A1:N6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4" customHeight="1">
      <c r="A1" s="13" t="inlineStr">
        <is>
          <t>ZM — COMPARABLE COMPANIES ANALYSIS</t>
        </is>
      </c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PEER TRADING MULTIPLES (NTM)</t>
        </is>
      </c>
      <c r="K3" s="2" t="n"/>
      <c r="L3" s="2" t="n"/>
      <c r="M3" s="2" t="n"/>
      <c r="N3" s="2" t="n"/>
    </row>
    <row r="4">
      <c r="A4" s="7" t="inlineStr">
        <is>
          <t>Company</t>
        </is>
      </c>
      <c r="B4" s="7" t="inlineStr">
        <is>
          <t>Ticker</t>
        </is>
      </c>
      <c r="C4" s="7" t="inlineStr">
        <is>
          <t>NTM EV/EBITDA</t>
        </is>
      </c>
      <c r="D4" s="7" t="inlineStr">
        <is>
          <t>NTM EV/EBIT</t>
        </is>
      </c>
      <c r="E4" s="7" t="inlineStr">
        <is>
          <t>NTM P/E</t>
        </is>
      </c>
      <c r="F4" s="7" t="inlineStr">
        <is>
          <t>NTM EV/Rev</t>
        </is>
      </c>
      <c r="G4" s="7" t="inlineStr">
        <is>
          <t>NTM FCF Yield%</t>
        </is>
      </c>
      <c r="H4" s="7" t="inlineStr">
        <is>
          <t>Growth NTM%</t>
        </is>
      </c>
      <c r="I4" s="7" t="inlineStr">
        <is>
          <t>EBITDA Margin%</t>
        </is>
      </c>
      <c r="J4" s="7" t="inlineStr">
        <is>
          <t>ROIC%</t>
        </is>
      </c>
      <c r="K4" s="7" t="inlineStr">
        <is>
          <t>Data Source</t>
        </is>
      </c>
      <c r="L4" s="2" t="n"/>
      <c r="M4" s="2" t="n"/>
      <c r="N4" s="2" t="n"/>
    </row>
    <row r="5">
      <c r="A5" s="10" t="inlineStr">
        <is>
          <t>RingCentral Inc</t>
        </is>
      </c>
      <c r="B5" s="11" t="inlineStr">
        <is>
          <t>RNG</t>
        </is>
      </c>
      <c r="C5" s="11" t="n">
        <v>6.29</v>
      </c>
      <c r="D5" s="11" t="inlineStr">
        <is>
          <t>DATA UNAVAILABLE</t>
        </is>
      </c>
      <c r="E5" s="11" t="n">
        <v>7.72</v>
      </c>
      <c r="F5" s="11" t="n">
        <v>1.72</v>
      </c>
      <c r="G5" s="11" t="inlineStr">
        <is>
          <t>DATA UNAVAILABLE</t>
        </is>
      </c>
      <c r="H5" s="11" t="n">
        <v>4.5</v>
      </c>
      <c r="I5" s="11" t="n">
        <v>27.3</v>
      </c>
      <c r="J5" s="11" t="inlineStr">
        <is>
          <t>DATA UNAVAILABLE — not in CapIQ/yfinance/LSEG</t>
        </is>
      </c>
      <c r="K5" s="11" t="inlineStr">
        <is>
          <t>CapIQ</t>
        </is>
      </c>
      <c r="L5" s="2" t="n"/>
      <c r="M5" s="2" t="n"/>
      <c r="N5" s="2" t="n"/>
    </row>
    <row r="6">
      <c r="A6" s="8" t="inlineStr">
        <is>
          <t>Twilio Inc</t>
        </is>
      </c>
      <c r="B6" s="9" t="inlineStr">
        <is>
          <t>TWLO</t>
        </is>
      </c>
      <c r="C6" s="9" t="n">
        <v>15.73</v>
      </c>
      <c r="D6" s="9" t="inlineStr">
        <is>
          <t>DATA UNAVAILABLE</t>
        </is>
      </c>
      <c r="E6" s="9" t="n">
        <v>23.91</v>
      </c>
      <c r="F6" s="9" t="n">
        <v>3.21</v>
      </c>
      <c r="G6" s="9" t="inlineStr">
        <is>
          <t>DATA UNAVAILABLE</t>
        </is>
      </c>
      <c r="H6" s="9" t="n">
        <v>12.1</v>
      </c>
      <c r="I6" s="9" t="n">
        <v>20.4</v>
      </c>
      <c r="J6" s="9" t="inlineStr">
        <is>
          <t>DATA UNAVAILABLE — not in CapIQ/yfinance/LSEG</t>
        </is>
      </c>
      <c r="K6" s="9" t="inlineStr">
        <is>
          <t>CapIQ</t>
        </is>
      </c>
      <c r="L6" s="2" t="n"/>
      <c r="M6" s="2" t="n"/>
      <c r="N6" s="2" t="n"/>
    </row>
    <row r="7">
      <c r="A7" s="10" t="inlineStr">
        <is>
          <t>Five9 Inc</t>
        </is>
      </c>
      <c r="B7" s="11" t="inlineStr">
        <is>
          <t>FIVN</t>
        </is>
      </c>
      <c r="C7" s="11" t="n">
        <v>4.05</v>
      </c>
      <c r="D7" s="11" t="inlineStr">
        <is>
          <t>DATA UNAVAILABLE</t>
        </is>
      </c>
      <c r="E7" s="11" t="n">
        <v>4.57</v>
      </c>
      <c r="F7" s="11" t="n">
        <v>0.98</v>
      </c>
      <c r="G7" s="11" t="inlineStr">
        <is>
          <t>DATA UNAVAILABLE</t>
        </is>
      </c>
      <c r="H7" s="11" t="n">
        <v>9.199999999999999</v>
      </c>
      <c r="I7" s="11" t="n">
        <v>24.1</v>
      </c>
      <c r="J7" s="11" t="inlineStr">
        <is>
          <t>DATA UNAVAILABLE — not in CapIQ/yfinance/LSEG</t>
        </is>
      </c>
      <c r="K7" s="11" t="inlineStr">
        <is>
          <t>CapIQ</t>
        </is>
      </c>
      <c r="L7" s="2" t="n"/>
      <c r="M7" s="2" t="n"/>
      <c r="N7" s="2" t="n"/>
    </row>
    <row r="8">
      <c r="A8" s="37" t="inlineStr">
        <is>
          <t>▶ ZM (SUBJECT)</t>
        </is>
      </c>
      <c r="B8" s="37" t="inlineStr">
        <is>
          <t>ZM</t>
        </is>
      </c>
      <c r="C8" s="38" t="n">
        <v>7.68</v>
      </c>
      <c r="D8" s="38" t="inlineStr">
        <is>
          <t>DATA UNAVAILABLE — NTM Adjusted EBIT not separately provided; estimated ~8.2x based on LTM D&amp;A run-rate of ~$133M (LSEG: EBITDA $1,238M - EBIT $1,106M)</t>
        </is>
      </c>
      <c r="E8" s="38" t="n">
        <v>14.17</v>
      </c>
      <c r="F8" s="38" t="n">
        <v>3.31</v>
      </c>
      <c r="G8" s="38" t="n">
        <v>8.02</v>
      </c>
      <c r="H8" s="38" t="inlineStr">
        <is>
          <t>—</t>
        </is>
      </c>
      <c r="I8" s="38" t="inlineStr">
        <is>
          <t>—</t>
        </is>
      </c>
      <c r="J8" s="38" t="inlineStr">
        <is>
          <t>—</t>
        </is>
      </c>
      <c r="K8" s="38" t="inlineStr">
        <is>
          <t>LSEG</t>
        </is>
      </c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PEER GROUP STATISTICS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" t="inlineStr">
        <is>
          <t>Median NTM EV/EBITDA</t>
        </is>
      </c>
      <c r="B11" s="5" t="n">
        <v>6.29</v>
      </c>
      <c r="C11" s="3" t="inlineStr">
        <is>
          <t>Mean NTM EV/EBITDA</t>
        </is>
      </c>
      <c r="D11" s="5" t="n">
        <v>8.69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3" t="inlineStr">
        <is>
          <t>25th Pct NTM EV/EBITDA</t>
        </is>
      </c>
      <c r="B12" s="5" t="n">
        <v>5.17</v>
      </c>
      <c r="C12" s="3" t="inlineStr">
        <is>
          <t>75th Pct NTM EV/EBITDA</t>
        </is>
      </c>
      <c r="D12" s="5" t="n">
        <v>11.01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3" t="inlineStr">
        <is>
          <t>Median NTM P/E</t>
        </is>
      </c>
      <c r="B13" s="5" t="n">
        <v>7.72</v>
      </c>
      <c r="C13" s="3" t="inlineStr">
        <is>
          <t>Median NTM FCF Yield%</t>
        </is>
      </c>
      <c r="D13" s="5" t="inlineStr">
        <is>
          <t>DATA UNAVAILABLE — peer FCF not in CapIQ data provided</t>
        </is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6" t="inlineStr">
        <is>
          <t>IMPLIED VALUATION FROM COMPS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7" t="inlineStr">
        <is>
          <t>Methodology</t>
        </is>
      </c>
      <c r="B16" s="7" t="inlineStr">
        <is>
          <t>Multiple Applied</t>
        </is>
      </c>
      <c r="C16" s="7" t="inlineStr">
        <is>
          <t>NTM Metric</t>
        </is>
      </c>
      <c r="D16" s="7" t="inlineStr">
        <is>
          <t>Implied Price</t>
        </is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10" t="inlineStr">
        <is>
          <t>Median EV/EBITDA</t>
        </is>
      </c>
      <c r="B17" s="11" t="n">
        <v>6.29</v>
      </c>
      <c r="C17" s="11" t="inlineStr">
        <is>
          <t>EBITDA $2,184mm</t>
        </is>
      </c>
      <c r="D17" s="11" t="inlineStr">
        <is>
          <t>$72.93</t>
        </is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8" t="inlineStr">
        <is>
          <t>Median P/E</t>
        </is>
      </c>
      <c r="B18" s="9" t="n">
        <v>7.72</v>
      </c>
      <c r="C18" s="9" t="inlineStr">
        <is>
          <t>NTM EPS $5.87</t>
        </is>
      </c>
      <c r="D18" s="9" t="inlineStr">
        <is>
          <t>$45.33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10" t="inlineStr">
        <is>
          <t>Median FCF Yield</t>
        </is>
      </c>
      <c r="B19" s="11" t="inlineStr">
        <is>
          <t>N/A%</t>
        </is>
      </c>
      <c r="C19" s="11" t="inlineStr">
        <is>
          <t>N/A</t>
        </is>
      </c>
      <c r="D19" s="11" t="inlineStr">
        <is>
          <t>N/A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39" t="inlineStr">
        <is>
          <t>BLENDED IMPLIED PRICE</t>
        </is>
      </c>
      <c r="B20" s="40" t="inlineStr"/>
      <c r="C20" s="40" t="inlineStr">
        <is>
          <t>Current: $83.23</t>
        </is>
      </c>
      <c r="D20" s="40" t="inlineStr">
        <is>
          <t>$81.83  (-1.7%)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6" t="inlineStr">
        <is>
          <t>TRADING HISTORY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inlineStr">
        <is>
          <t>52-Week High</t>
        </is>
      </c>
      <c r="B23" s="5" t="inlineStr">
        <is>
          <t>$97.52</t>
        </is>
      </c>
      <c r="C23" s="3" t="inlineStr">
        <is>
          <t>52-Week Low</t>
        </is>
      </c>
      <c r="D23" s="5" t="inlineStr">
        <is>
          <t>$65.62</t>
        </is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inlineStr">
        <is>
          <t>vs 52W High</t>
        </is>
      </c>
      <c r="B24" s="5" t="inlineStr">
        <is>
          <t>-14.6%</t>
        </is>
      </c>
      <c r="C24" s="3" t="inlineStr">
        <is>
          <t>3-Year Range Position</t>
        </is>
      </c>
      <c r="D24" s="5" t="inlineStr">
        <is>
          <t>upper_half</t>
        </is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</sheetData>
  <mergeCells count="5">
    <mergeCell ref="A1:J1"/>
    <mergeCell ref="A10:F10"/>
    <mergeCell ref="A3:J3"/>
    <mergeCell ref="A22:F22"/>
    <mergeCell ref="A15:F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C542"/>
    <outlinePr summaryBelow="1" summaryRight="1"/>
    <pageSetUpPr/>
  </sheetPr>
  <dimension ref="A1:N8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41" t="inlineStr">
        <is>
          <t>ZM — FINANCIAL STATEMENTS</t>
        </is>
      </c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6" t="inlineStr">
        <is>
          <t>REVENUE ANALYSIS</t>
        </is>
      </c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7" t="inlineStr">
        <is>
          <t>Metric</t>
        </is>
      </c>
      <c r="B4" s="7" t="inlineStr">
        <is>
          <t>FY-4</t>
        </is>
      </c>
      <c r="C4" s="7" t="inlineStr">
        <is>
          <t>FY-3</t>
        </is>
      </c>
      <c r="D4" s="7" t="inlineStr">
        <is>
          <t>FY-2</t>
        </is>
      </c>
      <c r="E4" s="7" t="inlineStr">
        <is>
          <t>FY-1</t>
        </is>
      </c>
      <c r="F4" s="7" t="inlineStr">
        <is>
          <t>FY0</t>
        </is>
      </c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10" t="inlineStr">
        <is>
          <t>Revenue ($mm)</t>
        </is>
      </c>
      <c r="B5" s="11" t="inlineStr">
        <is>
          <t>$4,100</t>
        </is>
      </c>
      <c r="C5" s="11" t="inlineStr">
        <is>
          <t>$4,393</t>
        </is>
      </c>
      <c r="D5" s="11" t="inlineStr">
        <is>
          <t>$4,527</t>
        </is>
      </c>
      <c r="E5" s="11" t="inlineStr">
        <is>
          <t>$4,665</t>
        </is>
      </c>
      <c r="F5" s="11" t="inlineStr">
        <is>
          <t>$4,869</t>
        </is>
      </c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8" t="inlineStr">
        <is>
          <t>YoY Growth%</t>
        </is>
      </c>
      <c r="B6" s="9" t="inlineStr">
        <is>
          <t>N/A</t>
        </is>
      </c>
      <c r="C6" s="9" t="inlineStr">
        <is>
          <t>7.1%</t>
        </is>
      </c>
      <c r="D6" s="9" t="inlineStr">
        <is>
          <t>3.1%</t>
        </is>
      </c>
      <c r="E6" s="9" t="inlineStr">
        <is>
          <t>3.1%</t>
        </is>
      </c>
      <c r="F6" s="9" t="inlineStr">
        <is>
          <t>4.4%</t>
        </is>
      </c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3" t="inlineStr">
        <is>
          <t>3-Year Revenue CAGR</t>
        </is>
      </c>
      <c r="B7" s="5" t="inlineStr">
        <is>
          <t>4.4%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3" t="inlineStr">
        <is>
          <t>Revenue Quality</t>
        </is>
      </c>
      <c r="B8" s="5" t="inlineStr">
        <is>
          <t>—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6" t="inlineStr">
        <is>
          <t>MARGIN ANALYSIS</t>
        </is>
      </c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3" t="inlineStr">
        <is>
          <t>Normalized EBIT Margin</t>
        </is>
      </c>
      <c r="B11" s="5" t="inlineStr">
        <is>
          <t>23.5%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3" t="inlineStr">
        <is>
          <t>Margin Direction</t>
        </is>
      </c>
      <c r="B12" s="5" t="inlineStr">
        <is>
          <t>—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6" t="inlineStr">
        <is>
          <t>BALANCE SHEET SUMMARY</t>
        </is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3" t="inlineStr">
        <is>
          <t>Net Debt ($mm)</t>
        </is>
      </c>
      <c r="B15" s="5" t="inlineStr">
        <is>
          <t>$-7,758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3" t="inlineStr">
        <is>
          <t>Net Debt/EBITDA</t>
        </is>
      </c>
      <c r="B16" s="5" t="inlineStr">
        <is>
          <t>-6.09x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3" t="inlineStr">
        <is>
          <t>Interest Coverage</t>
        </is>
      </c>
      <c r="B17" s="5" t="inlineStr">
        <is>
          <t>?x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3" t="inlineStr">
        <is>
          <t>Balance Sheet Assessment</t>
        </is>
      </c>
      <c r="B18" s="5" t="inlineStr">
        <is>
          <t>—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6" t="inlineStr">
        <is>
          <t>RETURN ON INVESTED CAPITAL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7" t="inlineStr">
        <is>
          <t>Metric</t>
        </is>
      </c>
      <c r="B21" s="7" t="inlineStr">
        <is>
          <t>FY0 (Jan 2026)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0" t="inlineStr">
        <is>
          <t>ROIC%</t>
        </is>
      </c>
      <c r="B22" s="11" t="inlineStr">
        <is>
          <t>21.6%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3" t="inlineStr">
        <is>
          <t>ROIC-WACC Spread</t>
        </is>
      </c>
      <c r="B23" s="5" t="inlineStr">
        <is>
          <t>11.6%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3" t="inlineStr">
        <is>
          <t>ROIC Trend</t>
        </is>
      </c>
      <c r="B24" s="5" t="inlineStr">
        <is>
          <t>DATA UNAVAILABLE — only FY0 ROIC computable (FY-2 and FY-1 missing OCF or balance sheet components for prior years). Directionally, improving NOPAT (EBIT grew from $578mm to $1,142mm over 2 years) on a stable asset base suggests ROIC is improving.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</sheetData>
  <mergeCells count="5">
    <mergeCell ref="A10:F10"/>
    <mergeCell ref="A1:G1"/>
    <mergeCell ref="A3:F3"/>
    <mergeCell ref="A20:F20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03E3E"/>
    <outlinePr summaryBelow="1" summaryRight="1"/>
    <pageSetUpPr/>
  </sheetPr>
  <dimension ref="A1:H8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2" customWidth="1" min="4" max="4"/>
    <col width="12" customWidth="1" min="5" max="5"/>
    <col width="30" customWidth="1" min="6" max="6"/>
    <col width="20" customWidth="1" min="7" max="7"/>
    <col width="12" customWidth="1" min="8" max="8"/>
  </cols>
  <sheetData>
    <row r="1" ht="24" customHeight="1">
      <c r="A1" s="42" t="inlineStr">
        <is>
          <t>ZM — RISK REGISTER</t>
        </is>
      </c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6" t="inlineStr">
        <is>
          <t>THESIS-KILLER RISK</t>
        </is>
      </c>
      <c r="H3" s="2" t="n"/>
    </row>
    <row r="4" ht="40" customHeight="1">
      <c r="A4" s="43" t="inlineStr">
        <is>
          <t>Bundling Erosion From MSFT/GOOG: Microsoft Teams is included at zero marginal cost in every M365 seat, and Google Meet is bundled with Workspace. These are not fringe competitors — they are the two largest enterprise software ecosystems on the planet, and their bundling strategy directly attacks Zoom's core video product. Zoom's 4.4% revenue growth already reflects a mature product losing incremen</t>
        </is>
      </c>
      <c r="H4" s="2" t="n"/>
    </row>
    <row r="5"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6" t="inlineStr">
        <is>
          <t>KEY RISKS &amp; MITIGANTS</t>
        </is>
      </c>
      <c r="H7" s="2" t="n"/>
    </row>
    <row r="8">
      <c r="A8" s="7" t="inlineStr">
        <is>
          <t>#</t>
        </is>
      </c>
      <c r="B8" s="7" t="inlineStr">
        <is>
          <t>Risk Name</t>
        </is>
      </c>
      <c r="C8" s="7" t="inlineStr">
        <is>
          <t>Risk</t>
        </is>
      </c>
      <c r="D8" s="7" t="inlineStr">
        <is>
          <t>Probability</t>
        </is>
      </c>
      <c r="E8" s="7" t="inlineStr">
        <is>
          <t>Price Impact %</t>
        </is>
      </c>
      <c r="F8" s="7" t="inlineStr">
        <is>
          <t>Mitigant</t>
        </is>
      </c>
      <c r="G8" s="7" t="inlineStr">
        <is>
          <t>Early Warning</t>
        </is>
      </c>
      <c r="H8" s="2" t="n"/>
    </row>
    <row r="9" ht="32" customHeight="1">
      <c r="A9" s="44" t="inlineStr">
        <is>
          <t>★ 1</t>
        </is>
      </c>
      <c r="B9" s="45" t="inlineStr">
        <is>
          <t>Bundling Erosion Fro</t>
        </is>
      </c>
      <c r="C9" s="45" t="inlineStr">
        <is>
          <t>Microsoft Teams is included at zero marginal cost in every M365 seat, and Google</t>
        </is>
      </c>
      <c r="D9" s="45" t="inlineStr">
        <is>
          <t>H</t>
        </is>
      </c>
      <c r="E9" s="45" t="inlineStr">
        <is>
          <t>-25%</t>
        </is>
      </c>
      <c r="F9" s="45" t="inlineStr">
        <is>
          <t xml:space="preserve">Zoom's product quality and cross-platform neutrality remain </t>
        </is>
      </c>
      <c r="G9" s="45" t="inlineStr">
        <is>
          <t>Sequential revenue growth turning negati</t>
        </is>
      </c>
      <c r="H9" s="2" t="n"/>
    </row>
    <row r="10" ht="32" customHeight="1">
      <c r="A10" s="8" t="inlineStr">
        <is>
          <t>2</t>
        </is>
      </c>
      <c r="B10" s="9" t="inlineStr">
        <is>
          <t xml:space="preserve">AI Disrupts Meeting </t>
        </is>
      </c>
      <c r="C10" s="9" t="inlineStr">
        <is>
          <t>If AI agents can attend meetings on behalf of users, summarize action items, and</t>
        </is>
      </c>
      <c r="D10" s="9" t="inlineStr">
        <is>
          <t>L</t>
        </is>
      </c>
      <c r="E10" s="9" t="inlineStr">
        <is>
          <t>-45%</t>
        </is>
      </c>
      <c r="F10" s="9" t="inlineStr">
        <is>
          <t>Enterprise behavior changes slowly — synchronous video meeti</t>
        </is>
      </c>
      <c r="G10" s="9" t="inlineStr">
        <is>
          <t>Microsoft or Google shipping an enterpri</t>
        </is>
      </c>
      <c r="H10" s="2" t="n"/>
    </row>
    <row r="11" ht="32" customHeight="1">
      <c r="A11" s="10" t="inlineStr">
        <is>
          <t>3</t>
        </is>
      </c>
      <c r="B11" s="11" t="inlineStr">
        <is>
          <t>Value-Destructive Ca</t>
        </is>
      </c>
      <c r="C11" s="11" t="inlineStr">
        <is>
          <t>Zoom sits on $7.8B of net cash — roughly 32% of its market cap — and that cash p</t>
        </is>
      </c>
      <c r="D11" s="11" t="inlineStr">
        <is>
          <t>M</t>
        </is>
      </c>
      <c r="E11" s="11" t="inlineStr">
        <is>
          <t>-20%</t>
        </is>
      </c>
      <c r="F11" s="11" t="inlineStr">
        <is>
          <t>Management's track record is actually reasonably disciplined</t>
        </is>
      </c>
      <c r="G11" s="11" t="inlineStr">
        <is>
          <t>Management commentary shifting toward 't</t>
        </is>
      </c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6" t="inlineStr">
        <is>
          <t>WHAT WOULD MAKE US WRONG</t>
        </is>
      </c>
      <c r="H13" s="2" t="n"/>
    </row>
    <row r="14">
      <c r="A14" s="46" t="inlineStr">
        <is>
          <t>• {'condition': "If Zoom's revenue growth accelerates above 8% for two consecutive quarters (indicating a successful second growth engine in Contact Center or AI Companion), the stock is likely underval</t>
        </is>
      </c>
      <c r="H14" s="2" t="n"/>
    </row>
    <row r="15">
      <c r="A15" s="46" t="inlineStr">
        <is>
          <t>• {'condition': 'If revenue growth turns negative for two consecutive quarters and management cuts full-year guidance, the HOLD thesis breaks — the cash cushion alone does not justify holding a declinin</t>
        </is>
      </c>
      <c r="H15" s="2" t="n"/>
    </row>
    <row r="16">
      <c r="A16" s="46" t="inlineStr">
        <is>
          <t>• {'condition': 'If Zoom announces an acquisition exceeding $3B that is dilutive to ROIC (target EBITDA margin below 15% or purchase price above 8x target revenue), the cash safety net thesis is impaire</t>
        </is>
      </c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</row>
  </sheetData>
  <mergeCells count="8">
    <mergeCell ref="A13:G13"/>
    <mergeCell ref="A14:G14"/>
    <mergeCell ref="A1:G1"/>
    <mergeCell ref="A3:G3"/>
    <mergeCell ref="A4:G5"/>
    <mergeCell ref="A16:G16"/>
    <mergeCell ref="A15:G15"/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86AB"/>
    <outlinePr summaryBelow="1" summaryRight="1"/>
    <pageSetUpPr/>
  </sheetPr>
  <dimension ref="A1:J1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47" t="inlineStr">
        <is>
          <t>ZM — HISTORICAL FINANCIAL STATEMENTS (Source: CapIQ)</t>
        </is>
      </c>
      <c r="G1" s="2" t="n"/>
      <c r="H1" s="2" t="n"/>
      <c r="I1" s="2" t="n"/>
      <c r="J1" s="2" t="n"/>
    </row>
    <row r="2">
      <c r="A2" s="48" t="inlineStr">
        <is>
          <t>All figures in USD millions unless noted. Data pulled directly from S&amp;P Capital IQ.</t>
        </is>
      </c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6" t="inlineStr">
        <is>
          <t>INCOME STATEMENT</t>
        </is>
      </c>
      <c r="F4" s="2" t="n"/>
      <c r="G4" s="2" t="n"/>
      <c r="H4" s="2" t="n"/>
      <c r="I4" s="2" t="n"/>
      <c r="J4" s="2" t="n"/>
    </row>
    <row r="5">
      <c r="A5" s="7" t="inlineStr">
        <is>
          <t>Metric ($mm)</t>
        </is>
      </c>
      <c r="B5" s="7" t="inlineStr">
        <is>
          <t>LTM</t>
        </is>
      </c>
      <c r="C5" s="7" t="inlineStr">
        <is>
          <t>FY0 (Latest)</t>
        </is>
      </c>
      <c r="D5" s="7" t="inlineStr">
        <is>
          <t>FY-1</t>
        </is>
      </c>
      <c r="E5" s="7" t="inlineStr">
        <is>
          <t>FY-2</t>
        </is>
      </c>
      <c r="F5" s="2" t="n"/>
      <c r="G5" s="2" t="n"/>
      <c r="H5" s="2" t="n"/>
      <c r="I5" s="2" t="n"/>
      <c r="J5" s="2" t="n"/>
    </row>
    <row r="6">
      <c r="A6" s="8" t="inlineStr">
        <is>
          <t>Revenue</t>
        </is>
      </c>
      <c r="B6" s="9" t="inlineStr">
        <is>
          <t>$4,868.8</t>
        </is>
      </c>
      <c r="C6" s="9" t="inlineStr">
        <is>
          <t>$4,868.8</t>
        </is>
      </c>
      <c r="D6" s="9" t="inlineStr">
        <is>
          <t>$4,665.4</t>
        </is>
      </c>
      <c r="E6" s="9" t="inlineStr">
        <is>
          <t>$4,527.2</t>
        </is>
      </c>
      <c r="F6" s="2" t="n"/>
      <c r="G6" s="2" t="n"/>
      <c r="H6" s="2" t="n"/>
      <c r="I6" s="2" t="n"/>
      <c r="J6" s="2" t="n"/>
    </row>
    <row r="7">
      <c r="A7" s="10" t="inlineStr">
        <is>
          <t>Gross Profit</t>
        </is>
      </c>
      <c r="B7" s="11" t="inlineStr">
        <is>
          <t>—</t>
        </is>
      </c>
      <c r="C7" s="11" t="inlineStr">
        <is>
          <t>$3,767.9</t>
        </is>
      </c>
      <c r="D7" s="11" t="inlineStr">
        <is>
          <t>$3,535.8</t>
        </is>
      </c>
      <c r="E7" s="11" t="inlineStr">
        <is>
          <t>$3,449.4</t>
        </is>
      </c>
      <c r="F7" s="2" t="n"/>
      <c r="G7" s="2" t="n"/>
      <c r="H7" s="2" t="n"/>
      <c r="I7" s="2" t="n"/>
      <c r="J7" s="2" t="n"/>
    </row>
    <row r="8">
      <c r="A8" s="8" t="inlineStr">
        <is>
          <t>EBITDA</t>
        </is>
      </c>
      <c r="B8" s="9" t="inlineStr">
        <is>
          <t>$1,274.7</t>
        </is>
      </c>
      <c r="C8" s="9" t="inlineStr">
        <is>
          <t>$1,274.7</t>
        </is>
      </c>
      <c r="D8" s="9" t="inlineStr">
        <is>
          <t>$937.3</t>
        </is>
      </c>
      <c r="E8" s="9" t="inlineStr">
        <is>
          <t>$682.2</t>
        </is>
      </c>
      <c r="F8" s="2" t="n"/>
      <c r="G8" s="2" t="n"/>
      <c r="H8" s="2" t="n"/>
      <c r="I8" s="2" t="n"/>
      <c r="J8" s="2" t="n"/>
    </row>
    <row r="9">
      <c r="A9" s="10" t="inlineStr">
        <is>
          <t>EBIT</t>
        </is>
      </c>
      <c r="B9" s="11" t="inlineStr">
        <is>
          <t>$1,141.8</t>
        </is>
      </c>
      <c r="C9" s="11" t="inlineStr">
        <is>
          <t>$1,141.8</t>
        </is>
      </c>
      <c r="D9" s="11" t="inlineStr">
        <is>
          <t>$814.6</t>
        </is>
      </c>
      <c r="E9" s="11" t="inlineStr">
        <is>
          <t>$577.8</t>
        </is>
      </c>
      <c r="F9" s="2" t="n"/>
      <c r="G9" s="2" t="n"/>
      <c r="H9" s="2" t="n"/>
      <c r="I9" s="2" t="n"/>
      <c r="J9" s="2" t="n"/>
    </row>
    <row r="10">
      <c r="A10" s="8" t="inlineStr">
        <is>
          <t>Net Income</t>
        </is>
      </c>
      <c r="B10" s="9" t="inlineStr">
        <is>
          <t>$1,900.1</t>
        </is>
      </c>
      <c r="C10" s="9" t="inlineStr">
        <is>
          <t>$1,900.1</t>
        </is>
      </c>
      <c r="D10" s="9" t="inlineStr">
        <is>
          <t>$1,010.2</t>
        </is>
      </c>
      <c r="E10" s="9" t="inlineStr">
        <is>
          <t>$637.5</t>
        </is>
      </c>
      <c r="F10" s="2" t="n"/>
      <c r="G10" s="2" t="n"/>
      <c r="H10" s="2" t="n"/>
      <c r="I10" s="2" t="n"/>
      <c r="J10" s="2" t="n"/>
    </row>
    <row r="11">
      <c r="A11" s="10" t="inlineStr">
        <is>
          <t>Net Inc. (Norm)</t>
        </is>
      </c>
      <c r="B11" s="11" t="inlineStr">
        <is>
          <t>—</t>
        </is>
      </c>
      <c r="C11" s="11" t="inlineStr">
        <is>
          <t>$919.2</t>
        </is>
      </c>
      <c r="D11" s="11" t="inlineStr">
        <is>
          <t>—</t>
        </is>
      </c>
      <c r="E11" s="11" t="inlineStr">
        <is>
          <t>—</t>
        </is>
      </c>
      <c r="F11" s="2" t="n"/>
      <c r="G11" s="2" t="n"/>
      <c r="H11" s="2" t="n"/>
      <c r="I11" s="2" t="n"/>
      <c r="J11" s="2" t="n"/>
    </row>
    <row r="12">
      <c r="A12" s="8" t="inlineStr">
        <is>
          <t>D&amp;A</t>
        </is>
      </c>
      <c r="B12" s="9" t="inlineStr">
        <is>
          <t>—</t>
        </is>
      </c>
      <c r="C12" s="9" t="inlineStr">
        <is>
          <t>$132.8</t>
        </is>
      </c>
      <c r="D12" s="9" t="inlineStr">
        <is>
          <t>—</t>
        </is>
      </c>
      <c r="E12" s="9" t="inlineStr">
        <is>
          <t>—</t>
        </is>
      </c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6" t="inlineStr">
        <is>
          <t>CASH FLOW</t>
        </is>
      </c>
      <c r="F14" s="2" t="n"/>
      <c r="G14" s="2" t="n"/>
      <c r="H14" s="2" t="n"/>
      <c r="I14" s="2" t="n"/>
      <c r="J14" s="2" t="n"/>
    </row>
    <row r="15">
      <c r="A15" s="7" t="inlineStr">
        <is>
          <t>Metric ($mm)</t>
        </is>
      </c>
      <c r="B15" s="7" t="inlineStr">
        <is>
          <t>LTM</t>
        </is>
      </c>
      <c r="C15" s="7" t="inlineStr">
        <is>
          <t>FY0 (Latest)</t>
        </is>
      </c>
      <c r="D15" s="7" t="inlineStr">
        <is>
          <t>FY-1</t>
        </is>
      </c>
      <c r="E15" s="7" t="inlineStr">
        <is>
          <t>FY-2</t>
        </is>
      </c>
      <c r="F15" s="2" t="n"/>
      <c r="G15" s="2" t="n"/>
      <c r="H15" s="2" t="n"/>
      <c r="I15" s="2" t="n"/>
      <c r="J15" s="2" t="n"/>
    </row>
    <row r="16">
      <c r="A16" s="8" t="inlineStr">
        <is>
          <t>Operating Cash Flow</t>
        </is>
      </c>
      <c r="B16" s="9" t="inlineStr">
        <is>
          <t>—</t>
        </is>
      </c>
      <c r="C16" s="9" t="inlineStr">
        <is>
          <t>$1,989.0</t>
        </is>
      </c>
      <c r="D16" s="9" t="inlineStr">
        <is>
          <t>$1,945.3</t>
        </is>
      </c>
      <c r="E16" s="9" t="inlineStr">
        <is>
          <t>—</t>
        </is>
      </c>
      <c r="F16" s="2" t="n"/>
      <c r="G16" s="2" t="n"/>
      <c r="H16" s="2" t="n"/>
      <c r="I16" s="2" t="n"/>
      <c r="J16" s="2" t="n"/>
    </row>
    <row r="17">
      <c r="A17" s="10" t="inlineStr">
        <is>
          <t>CapEx</t>
        </is>
      </c>
      <c r="B17" s="11" t="inlineStr">
        <is>
          <t>—</t>
        </is>
      </c>
      <c r="C17" s="11" t="inlineStr">
        <is>
          <t>$-65.0</t>
        </is>
      </c>
      <c r="D17" s="11" t="inlineStr">
        <is>
          <t>$-136.6</t>
        </is>
      </c>
      <c r="E17" s="11" t="inlineStr">
        <is>
          <t>$-127.0</t>
        </is>
      </c>
      <c r="F17" s="2" t="n"/>
      <c r="G17" s="2" t="n"/>
      <c r="H17" s="2" t="n"/>
      <c r="I17" s="2" t="n"/>
      <c r="J17" s="2" t="n"/>
    </row>
    <row r="18">
      <c r="A18" s="8" t="inlineStr">
        <is>
          <t>Levered FCF</t>
        </is>
      </c>
      <c r="B18" s="9" t="inlineStr">
        <is>
          <t>$1,963.5</t>
        </is>
      </c>
      <c r="C18" s="9" t="inlineStr">
        <is>
          <t>$1,963.5</t>
        </is>
      </c>
      <c r="D18" s="9" t="inlineStr">
        <is>
          <t>$1,926.8</t>
        </is>
      </c>
      <c r="E18" s="9" t="inlineStr">
        <is>
          <t>—</t>
        </is>
      </c>
      <c r="F18" s="2" t="n"/>
      <c r="G18" s="2" t="n"/>
      <c r="H18" s="2" t="n"/>
      <c r="I18" s="2" t="n"/>
      <c r="J18" s="2" t="n"/>
    </row>
    <row r="19">
      <c r="A19" s="10" t="inlineStr">
        <is>
          <t>Unlevered FCF</t>
        </is>
      </c>
      <c r="B19" s="11" t="inlineStr">
        <is>
          <t>$1,963.5</t>
        </is>
      </c>
      <c r="C19" s="11" t="inlineStr">
        <is>
          <t>$1,963.5</t>
        </is>
      </c>
      <c r="D19" s="11" t="inlineStr">
        <is>
          <t>—</t>
        </is>
      </c>
      <c r="E19" s="11" t="inlineStr">
        <is>
          <t>—</t>
        </is>
      </c>
      <c r="F19" s="2" t="n"/>
      <c r="G19" s="2" t="n"/>
      <c r="H19" s="2" t="n"/>
      <c r="I19" s="2" t="n"/>
      <c r="J19" s="2" t="n"/>
    </row>
    <row r="20">
      <c r="A20" s="8" t="inlineStr">
        <is>
          <t>EBITDA - CapEx</t>
        </is>
      </c>
      <c r="B20" s="9" t="inlineStr">
        <is>
          <t>$1,209.7</t>
        </is>
      </c>
      <c r="C20" s="9" t="inlineStr">
        <is>
          <t>—</t>
        </is>
      </c>
      <c r="D20" s="9" t="inlineStr">
        <is>
          <t>—</t>
        </is>
      </c>
      <c r="E20" s="9" t="inlineStr">
        <is>
          <t>—</t>
        </is>
      </c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6" t="inlineStr">
        <is>
          <t>MARGIN ANALYSIS (CapIQ ratios — LTM basis)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7" t="inlineStr">
        <is>
          <t>Metric</t>
        </is>
      </c>
      <c r="B23" s="7" t="inlineStr">
        <is>
          <t>Value</t>
        </is>
      </c>
      <c r="C23" s="7" t="inlineStr">
        <is>
          <t>Source</t>
        </is>
      </c>
      <c r="D23" s="2" t="n"/>
      <c r="E23" s="2" t="n"/>
      <c r="F23" s="2" t="n"/>
      <c r="G23" s="2" t="n"/>
      <c r="H23" s="2" t="n"/>
      <c r="I23" s="2" t="n"/>
      <c r="J23" s="2" t="n"/>
    </row>
    <row r="24">
      <c r="A24" s="8" t="inlineStr">
        <is>
          <t>Gross Margin %</t>
        </is>
      </c>
      <c r="B24" s="9" t="inlineStr">
        <is>
          <t>77.4%</t>
        </is>
      </c>
      <c r="C24" s="9" t="inlineStr">
        <is>
          <t>CapIQ IQ_GROSS_MARGIN</t>
        </is>
      </c>
      <c r="D24" s="2" t="n"/>
      <c r="E24" s="2" t="n"/>
      <c r="F24" s="2" t="n"/>
      <c r="G24" s="2" t="n"/>
      <c r="H24" s="2" t="n"/>
      <c r="I24" s="2" t="n"/>
      <c r="J24" s="2" t="n"/>
    </row>
    <row r="25">
      <c r="A25" s="10" t="inlineStr">
        <is>
          <t>EBITDA Margin %</t>
        </is>
      </c>
      <c r="B25" s="11" t="inlineStr">
        <is>
          <t>26.2%</t>
        </is>
      </c>
      <c r="C25" s="11" t="inlineStr">
        <is>
          <t>CapIQ IQ_EBITDA_MARGIN</t>
        </is>
      </c>
      <c r="D25" s="2" t="n"/>
      <c r="E25" s="2" t="n"/>
      <c r="F25" s="2" t="n"/>
      <c r="G25" s="2" t="n"/>
      <c r="H25" s="2" t="n"/>
      <c r="I25" s="2" t="n"/>
      <c r="J25" s="2" t="n"/>
    </row>
    <row r="26">
      <c r="A26" s="8" t="inlineStr">
        <is>
          <t>Net Income Margin %</t>
        </is>
      </c>
      <c r="B26" s="9" t="inlineStr">
        <is>
          <t>39.0%</t>
        </is>
      </c>
      <c r="C26" s="9" t="inlineStr">
        <is>
          <t>CapIQ IQ_NI_MARGIN</t>
        </is>
      </c>
      <c r="D26" s="2" t="n"/>
      <c r="E26" s="2" t="n"/>
      <c r="F26" s="2" t="n"/>
      <c r="G26" s="2" t="n"/>
      <c r="H26" s="2" t="n"/>
      <c r="I26" s="2" t="n"/>
      <c r="J26" s="2" t="n"/>
    </row>
    <row r="27">
      <c r="A27" s="10" t="inlineStr">
        <is>
          <t>Levered FCF Margin %</t>
        </is>
      </c>
      <c r="B27" s="11" t="inlineStr">
        <is>
          <t>40.3%</t>
        </is>
      </c>
      <c r="C27" s="11" t="inlineStr">
        <is>
          <t>CapIQ IQ_LFCF_MARGIN</t>
        </is>
      </c>
      <c r="D27" s="2" t="n"/>
      <c r="E27" s="2" t="n"/>
      <c r="F27" s="2" t="n"/>
      <c r="G27" s="2" t="n"/>
      <c r="H27" s="2" t="n"/>
      <c r="I27" s="2" t="n"/>
      <c r="J27" s="2" t="n"/>
    </row>
    <row r="28">
      <c r="A28" s="8" t="inlineStr">
        <is>
          <t>ROIC %</t>
        </is>
      </c>
      <c r="B28" s="9" t="inlineStr">
        <is>
          <t>—</t>
        </is>
      </c>
      <c r="C28" s="9" t="inlineStr">
        <is>
          <t>CapIQ IQ_RETURN_INVEST_CAP</t>
        </is>
      </c>
      <c r="D28" s="2" t="n"/>
      <c r="E28" s="2" t="n"/>
      <c r="F28" s="2" t="n"/>
      <c r="G28" s="2" t="n"/>
      <c r="H28" s="2" t="n"/>
      <c r="I28" s="2" t="n"/>
      <c r="J28" s="2" t="n"/>
    </row>
    <row r="29">
      <c r="A29" s="10" t="inlineStr">
        <is>
          <t>ROE %</t>
        </is>
      </c>
      <c r="B29" s="11" t="inlineStr">
        <is>
          <t>20.3%</t>
        </is>
      </c>
      <c r="C29" s="11" t="inlineStr">
        <is>
          <t>CapIQ IQ_RETURN_EQUITY</t>
        </is>
      </c>
      <c r="D29" s="2" t="n"/>
      <c r="E29" s="2" t="n"/>
      <c r="F29" s="2" t="n"/>
      <c r="G29" s="2" t="n"/>
      <c r="H29" s="2" t="n"/>
      <c r="I29" s="2" t="n"/>
      <c r="J29" s="2" t="n"/>
    </row>
    <row r="30">
      <c r="A30" s="8" t="inlineStr">
        <is>
          <t>ROA %</t>
        </is>
      </c>
      <c r="B30" s="9" t="inlineStr">
        <is>
          <t>6.2%</t>
        </is>
      </c>
      <c r="C30" s="9" t="inlineStr">
        <is>
          <t>CapIQ IQ_RETURN_ASSETS</t>
        </is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6" t="inlineStr">
        <is>
          <t>BALANCE SHEET (Latest)</t>
        </is>
      </c>
      <c r="D32" s="2" t="n"/>
      <c r="E32" s="2" t="n"/>
      <c r="F32" s="2" t="n"/>
      <c r="G32" s="2" t="n"/>
      <c r="H32" s="2" t="n"/>
      <c r="I32" s="2" t="n"/>
      <c r="J32" s="2" t="n"/>
    </row>
    <row r="33">
      <c r="A33" s="7" t="inlineStr">
        <is>
          <t>Metric ($mm)</t>
        </is>
      </c>
      <c r="B33" s="7" t="inlineStr">
        <is>
          <t>Value</t>
        </is>
      </c>
      <c r="C33" s="7" t="inlineStr">
        <is>
          <t>Source</t>
        </is>
      </c>
      <c r="D33" s="2" t="n"/>
      <c r="E33" s="2" t="n"/>
      <c r="F33" s="2" t="n"/>
      <c r="G33" s="2" t="n"/>
      <c r="H33" s="2" t="n"/>
      <c r="I33" s="2" t="n"/>
      <c r="J33" s="2" t="n"/>
    </row>
    <row r="34">
      <c r="A34" s="8" t="inlineStr">
        <is>
          <t>Cash &amp; ST Investments</t>
        </is>
      </c>
      <c r="B34" s="9" t="inlineStr">
        <is>
          <t>$7,816.9</t>
        </is>
      </c>
      <c r="C34" s="9" t="inlineStr">
        <is>
          <t>CapIQ IQ_CASH_ST_INVEST</t>
        </is>
      </c>
      <c r="D34" s="2" t="n"/>
      <c r="E34" s="2" t="n"/>
      <c r="F34" s="2" t="n"/>
      <c r="G34" s="2" t="n"/>
      <c r="H34" s="2" t="n"/>
      <c r="I34" s="2" t="n"/>
      <c r="J34" s="2" t="n"/>
    </row>
    <row r="35">
      <c r="A35" s="10" t="inlineStr">
        <is>
          <t>Total Debt</t>
        </is>
      </c>
      <c r="B35" s="11" t="inlineStr">
        <is>
          <t>$58.5</t>
        </is>
      </c>
      <c r="C35" s="11" t="inlineStr">
        <is>
          <t>CapIQ IQ_TOTAL_DEBT</t>
        </is>
      </c>
      <c r="D35" s="2" t="n"/>
      <c r="E35" s="2" t="n"/>
      <c r="F35" s="2" t="n"/>
      <c r="G35" s="2" t="n"/>
      <c r="H35" s="2" t="n"/>
      <c r="I35" s="2" t="n"/>
      <c r="J35" s="2" t="n"/>
    </row>
    <row r="36">
      <c r="A36" s="8" t="inlineStr">
        <is>
          <t>Net Debt</t>
        </is>
      </c>
      <c r="B36" s="9" t="inlineStr">
        <is>
          <t>$-7,758.4</t>
        </is>
      </c>
      <c r="C36" s="9" t="inlineStr">
        <is>
          <t>CapIQ IQ_NET_DEBT</t>
        </is>
      </c>
      <c r="D36" s="2" t="n"/>
      <c r="E36" s="2" t="n"/>
      <c r="F36" s="2" t="n"/>
      <c r="G36" s="2" t="n"/>
      <c r="H36" s="2" t="n"/>
      <c r="I36" s="2" t="n"/>
      <c r="J36" s="2" t="n"/>
    </row>
    <row r="37">
      <c r="A37" s="10" t="inlineStr">
        <is>
          <t>Total Assets</t>
        </is>
      </c>
      <c r="B37" s="11" t="inlineStr">
        <is>
          <t>$11,960.4</t>
        </is>
      </c>
      <c r="C37" s="11" t="inlineStr">
        <is>
          <t>CapIQ IQ_TOTAL_ASSETS</t>
        </is>
      </c>
      <c r="D37" s="2" t="n"/>
      <c r="E37" s="2" t="n"/>
      <c r="F37" s="2" t="n"/>
      <c r="G37" s="2" t="n"/>
      <c r="H37" s="2" t="n"/>
      <c r="I37" s="2" t="n"/>
      <c r="J37" s="2" t="n"/>
    </row>
    <row r="38">
      <c r="A38" s="8" t="inlineStr">
        <is>
          <t>Total Equity</t>
        </is>
      </c>
      <c r="B38" s="9" t="inlineStr">
        <is>
          <t>$9,808.3</t>
        </is>
      </c>
      <c r="C38" s="9" t="inlineStr">
        <is>
          <t>CapIQ IQ_TOTAL_EQUITY</t>
        </is>
      </c>
      <c r="D38" s="2" t="n"/>
      <c r="E38" s="2" t="n"/>
      <c r="F38" s="2" t="n"/>
      <c r="G38" s="2" t="n"/>
      <c r="H38" s="2" t="n"/>
      <c r="I38" s="2" t="n"/>
      <c r="J38" s="2" t="n"/>
    </row>
    <row r="39">
      <c r="A39" s="10" t="inlineStr">
        <is>
          <t>Tangible Book Value</t>
        </is>
      </c>
      <c r="B39" s="11" t="inlineStr">
        <is>
          <t>$9,336.6</t>
        </is>
      </c>
      <c r="C39" s="11" t="inlineStr">
        <is>
          <t>CapIQ IQ_TBV</t>
        </is>
      </c>
      <c r="D39" s="2" t="n"/>
      <c r="E39" s="2" t="n"/>
      <c r="F39" s="2" t="n"/>
      <c r="G39" s="2" t="n"/>
      <c r="H39" s="2" t="n"/>
      <c r="I39" s="2" t="n"/>
      <c r="J39" s="2" t="n"/>
    </row>
    <row r="40">
      <c r="A40" s="8" t="inlineStr">
        <is>
          <t>Net Debt / EBITDA</t>
        </is>
      </c>
      <c r="B40" s="9" t="inlineStr">
        <is>
          <t>—</t>
        </is>
      </c>
      <c r="C40" s="9" t="inlineStr">
        <is>
          <t>CapIQ IQ_NET_DEBT_EBITDA</t>
        </is>
      </c>
      <c r="D40" s="2" t="n"/>
      <c r="E40" s="2" t="n"/>
      <c r="F40" s="2" t="n"/>
      <c r="G40" s="2" t="n"/>
      <c r="H40" s="2" t="n"/>
      <c r="I40" s="2" t="n"/>
      <c r="J40" s="2" t="n"/>
    </row>
    <row r="41">
      <c r="A41" s="10" t="inlineStr">
        <is>
          <t>EBIT Interest Coverage</t>
        </is>
      </c>
      <c r="B41" s="11" t="inlineStr">
        <is>
          <t>0.0x</t>
        </is>
      </c>
      <c r="C41" s="11" t="inlineStr">
        <is>
          <t>CapIQ IQ_EBIT_INT</t>
        </is>
      </c>
      <c r="D41" s="2" t="n"/>
      <c r="E41" s="2" t="n"/>
      <c r="F41" s="2" t="n"/>
      <c r="G41" s="2" t="n"/>
      <c r="H41" s="2" t="n"/>
      <c r="I41" s="2" t="n"/>
      <c r="J41" s="2" t="n"/>
    </row>
    <row r="42">
      <c r="A42" s="8" t="inlineStr">
        <is>
          <t>Current Ratio</t>
        </is>
      </c>
      <c r="B42" s="9" t="inlineStr">
        <is>
          <t>4.3x</t>
        </is>
      </c>
      <c r="C42" s="9" t="inlineStr">
        <is>
          <t>CapIQ IQ_CURRENT_RATIO</t>
        </is>
      </c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6" t="inlineStr">
        <is>
          <t>1-YEAR GROWTH RATES (LTM vs. prior year)</t>
        </is>
      </c>
      <c r="D44" s="2" t="n"/>
      <c r="E44" s="2" t="n"/>
      <c r="F44" s="2" t="n"/>
      <c r="G44" s="2" t="n"/>
      <c r="H44" s="2" t="n"/>
      <c r="I44" s="2" t="n"/>
      <c r="J44" s="2" t="n"/>
    </row>
    <row r="45">
      <c r="A45" s="7" t="inlineStr">
        <is>
          <t>Metric</t>
        </is>
      </c>
      <c r="B45" s="7" t="inlineStr">
        <is>
          <t>Growth %</t>
        </is>
      </c>
      <c r="C45" s="7" t="inlineStr">
        <is>
          <t>Source</t>
        </is>
      </c>
      <c r="D45" s="2" t="n"/>
      <c r="E45" s="2" t="n"/>
      <c r="F45" s="2" t="n"/>
      <c r="G45" s="2" t="n"/>
      <c r="H45" s="2" t="n"/>
      <c r="I45" s="2" t="n"/>
      <c r="J45" s="2" t="n"/>
    </row>
    <row r="46">
      <c r="A46" s="8" t="inlineStr">
        <is>
          <t>Revenue Growth 1YR</t>
        </is>
      </c>
      <c r="B46" s="9" t="inlineStr">
        <is>
          <t>4.4%</t>
        </is>
      </c>
      <c r="C46" s="9" t="inlineStr">
        <is>
          <t>CapIQ IQ_TOTAL_REV_1YR_ANN_GROWTH</t>
        </is>
      </c>
      <c r="D46" s="2" t="n"/>
      <c r="E46" s="2" t="n"/>
      <c r="F46" s="2" t="n"/>
      <c r="G46" s="2" t="n"/>
      <c r="H46" s="2" t="n"/>
      <c r="I46" s="2" t="n"/>
      <c r="J46" s="2" t="n"/>
    </row>
    <row r="47">
      <c r="A47" s="10" t="inlineStr">
        <is>
          <t>EBITDA Growth 1YR</t>
        </is>
      </c>
      <c r="B47" s="11" t="inlineStr">
        <is>
          <t>36.0%</t>
        </is>
      </c>
      <c r="C47" s="11" t="inlineStr">
        <is>
          <t>CapIQ IQ_EBITDA_1YR_ANN_GROWTH</t>
        </is>
      </c>
      <c r="D47" s="2" t="n"/>
      <c r="E47" s="2" t="n"/>
      <c r="F47" s="2" t="n"/>
      <c r="G47" s="2" t="n"/>
      <c r="H47" s="2" t="n"/>
      <c r="I47" s="2" t="n"/>
      <c r="J47" s="2" t="n"/>
    </row>
    <row r="48">
      <c r="A48" s="8" t="inlineStr">
        <is>
          <t>Net Income Growth 1YR</t>
        </is>
      </c>
      <c r="B48" s="9" t="inlineStr">
        <is>
          <t>88.1%</t>
        </is>
      </c>
      <c r="C48" s="9" t="inlineStr">
        <is>
          <t>CapIQ IQ_NI_1YR_ANN_GROWTH</t>
        </is>
      </c>
      <c r="D48" s="2" t="n"/>
      <c r="E48" s="2" t="n"/>
      <c r="F48" s="2" t="n"/>
      <c r="G48" s="2" t="n"/>
      <c r="H48" s="2" t="n"/>
      <c r="I48" s="2" t="n"/>
      <c r="J48" s="2" t="n"/>
    </row>
    <row r="49">
      <c r="A49" s="10" t="inlineStr">
        <is>
          <t>EPS Growth 1YR</t>
        </is>
      </c>
      <c r="B49" s="11" t="inlineStr">
        <is>
          <t>92.8%</t>
        </is>
      </c>
      <c r="C49" s="11" t="inlineStr">
        <is>
          <t>CapIQ IQ_EPS_1YR_ANN_GROWTH</t>
        </is>
      </c>
      <c r="D49" s="2" t="n"/>
      <c r="E49" s="2" t="n"/>
      <c r="F49" s="2" t="n"/>
      <c r="G49" s="2" t="n"/>
      <c r="H49" s="2" t="n"/>
      <c r="I49" s="2" t="n"/>
      <c r="J49" s="2" t="n"/>
    </row>
    <row r="50">
      <c r="A50" s="8" t="inlineStr">
        <is>
          <t>Levered FCF Growth 1YR</t>
        </is>
      </c>
      <c r="B50" s="9" t="inlineStr">
        <is>
          <t>1.9%</t>
        </is>
      </c>
      <c r="C50" s="9" t="inlineStr">
        <is>
          <t>CapIQ IQ_LFCF_1YR_ANN_GROWTH</t>
        </is>
      </c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6" t="inlineStr">
        <is>
          <t>CONSENSUS ESTIMATES (CapIQ)</t>
        </is>
      </c>
      <c r="F52" s="2" t="n"/>
      <c r="G52" s="2" t="n"/>
      <c r="H52" s="2" t="n"/>
      <c r="I52" s="2" t="n"/>
      <c r="J52" s="2" t="n"/>
    </row>
    <row r="53">
      <c r="A53" s="7" t="inlineStr">
        <is>
          <t>Metric</t>
        </is>
      </c>
      <c r="B53" s="7" t="inlineStr">
        <is>
          <t>NTM</t>
        </is>
      </c>
      <c r="C53" s="7" t="inlineStr">
        <is>
          <t>FY+1</t>
        </is>
      </c>
      <c r="D53" s="7" t="inlineStr">
        <is>
          <t>FY+2</t>
        </is>
      </c>
      <c r="E53" s="7" t="inlineStr">
        <is>
          <t>Source</t>
        </is>
      </c>
      <c r="F53" s="2" t="n"/>
      <c r="G53" s="2" t="n"/>
      <c r="H53" s="2" t="n"/>
      <c r="I53" s="2" t="n"/>
      <c r="J53" s="2" t="n"/>
    </row>
    <row r="54">
      <c r="A54" s="8" t="inlineStr">
        <is>
          <t>Est. Revenue ($mm)</t>
        </is>
      </c>
      <c r="B54" s="9" t="inlineStr">
        <is>
          <t>$5,071.4</t>
        </is>
      </c>
      <c r="C54" s="9" t="inlineStr">
        <is>
          <t>$5,071.4</t>
        </is>
      </c>
      <c r="D54" s="9" t="inlineStr">
        <is>
          <t>$5,272.3</t>
        </is>
      </c>
      <c r="E54" s="9" t="inlineStr">
        <is>
          <t>CapIQ IQ_REVENUE_EST</t>
        </is>
      </c>
      <c r="F54" s="2" t="n"/>
      <c r="G54" s="2" t="n"/>
      <c r="H54" s="2" t="n"/>
      <c r="I54" s="2" t="n"/>
      <c r="J54" s="2" t="n"/>
    </row>
    <row r="55">
      <c r="A55" s="10" t="inlineStr">
        <is>
          <t>Est. EBITDA ($mm)</t>
        </is>
      </c>
      <c r="B55" s="11" t="inlineStr">
        <is>
          <t>$2,183.7</t>
        </is>
      </c>
      <c r="C55" s="11" t="inlineStr">
        <is>
          <t>$2,183.7</t>
        </is>
      </c>
      <c r="D55" s="11" t="inlineStr">
        <is>
          <t>$2,270.1</t>
        </is>
      </c>
      <c r="E55" s="11" t="inlineStr">
        <is>
          <t>CapIQ IQ_EBITDA_EST</t>
        </is>
      </c>
      <c r="F55" s="2" t="n"/>
      <c r="G55" s="2" t="n"/>
      <c r="H55" s="2" t="n"/>
      <c r="I55" s="2" t="n"/>
      <c r="J55" s="2" t="n"/>
    </row>
    <row r="56">
      <c r="A56" s="8" t="inlineStr">
        <is>
          <t>Est. EBIT ($mm)</t>
        </is>
      </c>
      <c r="B56" s="9" t="inlineStr">
        <is>
          <t>—</t>
        </is>
      </c>
      <c r="C56" s="9" t="inlineStr">
        <is>
          <t>$2,056.4</t>
        </is>
      </c>
      <c r="D56" s="9" t="inlineStr">
        <is>
          <t>—</t>
        </is>
      </c>
      <c r="E56" s="9" t="inlineStr">
        <is>
          <t>CapIQ IQ_EBIT_EST</t>
        </is>
      </c>
      <c r="F56" s="2" t="n"/>
      <c r="G56" s="2" t="n"/>
      <c r="H56" s="2" t="n"/>
      <c r="I56" s="2" t="n"/>
      <c r="J56" s="2" t="n"/>
    </row>
    <row r="57">
      <c r="A57" s="10" t="inlineStr">
        <is>
          <t>Est. Net Income ($mm)</t>
        </is>
      </c>
      <c r="B57" s="11" t="inlineStr">
        <is>
          <t>—</t>
        </is>
      </c>
      <c r="C57" s="11" t="inlineStr">
        <is>
          <t>$1,794.5</t>
        </is>
      </c>
      <c r="D57" s="11" t="inlineStr">
        <is>
          <t>—</t>
        </is>
      </c>
      <c r="E57" s="11" t="inlineStr">
        <is>
          <t>CapIQ IQ_NI_EST</t>
        </is>
      </c>
      <c r="F57" s="2" t="n"/>
      <c r="G57" s="2" t="n"/>
      <c r="H57" s="2" t="n"/>
      <c r="I57" s="2" t="n"/>
      <c r="J57" s="2" t="n"/>
    </row>
    <row r="58">
      <c r="A58" s="8" t="inlineStr">
        <is>
          <t>Est. EPS</t>
        </is>
      </c>
      <c r="B58" s="9" t="inlineStr">
        <is>
          <t>5.9</t>
        </is>
      </c>
      <c r="C58" s="9" t="inlineStr">
        <is>
          <t>5.9</t>
        </is>
      </c>
      <c r="D58" s="9" t="inlineStr">
        <is>
          <t>6.1</t>
        </is>
      </c>
      <c r="E58" s="9" t="inlineStr">
        <is>
          <t>CapIQ IQ_EPS_EST</t>
        </is>
      </c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</row>
  </sheetData>
  <mergeCells count="8">
    <mergeCell ref="A2:F2"/>
    <mergeCell ref="A4:E4"/>
    <mergeCell ref="A44:C44"/>
    <mergeCell ref="A32:C32"/>
    <mergeCell ref="A52:E52"/>
    <mergeCell ref="A1:F1"/>
    <mergeCell ref="A22:C22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2026-04-11T21:18:06Z</dcterms:created>
  <dcterms:modified xmlns:dcterms="http://purl.org/dc/terms/" xmlns:xsi="http://www.w3.org/2001/XMLSchema-instance" xsi:type="dcterms:W3CDTF">2026-04-11T21:18:07Z</dcterms:modified>
</cp:coreProperties>
</file>