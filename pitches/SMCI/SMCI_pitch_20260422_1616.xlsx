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CF Model" sheetId="2" state="visible" r:id="rId2"/>
    <sheet xmlns:r="http://schemas.openxmlformats.org/officeDocument/2006/relationships" name="Comps" sheetId="3" state="visible" r:id="rId3"/>
    <sheet xmlns:r="http://schemas.openxmlformats.org/officeDocument/2006/relationships" name="Financials" sheetId="4" state="visible" r:id="rId4"/>
    <sheet xmlns:r="http://schemas.openxmlformats.org/officeDocument/2006/relationships" name="Risk Register" sheetId="5" state="visible" r:id="rId5"/>
    <sheet xmlns:r="http://schemas.openxmlformats.org/officeDocument/2006/relationships" name="Hist. Financia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0.0000"/>
    <numFmt numFmtId="166" formatCode="#,##0.0"/>
    <numFmt numFmtId="167" formatCode="$#,##0.00"/>
    <numFmt numFmtId="168" formatCode="+0.0%;-0.0%;0.0%"/>
    <numFmt numFmtId="169" formatCode="0.0x"/>
  </numFmts>
  <fonts count="32">
    <font>
      <name val="Calibri"/>
      <family val="2"/>
      <color theme="1"/>
      <sz val="11"/>
      <scheme val="minor"/>
    </font>
    <font>
      <name val="Calibri"/>
      <b val="1"/>
      <color rgb="004A9FD4"/>
      <sz val="16"/>
    </font>
    <font>
      <name val="Calibri"/>
      <color rgb="006B7280"/>
      <sz val="9"/>
    </font>
    <font>
      <name val="Calibri"/>
      <b val="1"/>
      <color rgb="00FFFFFF"/>
      <sz val="28"/>
    </font>
    <font>
      <name val="Calibri"/>
      <color rgb="00FFFFFF"/>
      <sz val="10"/>
    </font>
    <font>
      <name val="Calibri"/>
      <b val="1"/>
      <color rgb="00F5C542"/>
      <sz val="11"/>
    </font>
    <font>
      <name val="Calibri"/>
      <b val="1"/>
      <color rgb="00FFFFFF"/>
      <sz val="10"/>
    </font>
    <font>
      <name val="Calibri"/>
      <color rgb="00FFFFFF"/>
      <sz val="9"/>
    </font>
    <font>
      <name val="Calibri"/>
      <i val="1"/>
      <color rgb="00F0F4F8"/>
      <sz val="9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b val="1"/>
      <color rgb="000000FF"/>
      <sz val="14"/>
    </font>
    <font>
      <name val="Calibri"/>
      <i val="1"/>
      <color rgb="00808080"/>
      <sz val="8"/>
    </font>
    <font>
      <name val="Calibri"/>
      <color rgb="00808080"/>
      <sz val="8"/>
    </font>
    <font>
      <name val="Calibri"/>
      <b val="1"/>
      <color rgb="001F4E79"/>
      <sz val="10"/>
    </font>
    <font>
      <name val="Calibri"/>
      <b val="1"/>
      <color rgb="00000000"/>
      <sz val="9"/>
    </font>
    <font>
      <name val="Calibri"/>
      <b val="1"/>
      <color rgb="000000FF"/>
      <sz val="9"/>
    </font>
    <font>
      <name val="Calibri"/>
      <i val="1"/>
      <color rgb="00808080"/>
      <sz val="7"/>
    </font>
    <font>
      <name val="Calibri"/>
      <i val="1"/>
      <color rgb="000000FF"/>
      <sz val="7"/>
    </font>
    <font>
      <name val="Calibri"/>
      <color rgb="00000000"/>
      <sz val="9"/>
    </font>
    <font>
      <name val="Calibri"/>
      <color rgb="000000FF"/>
      <sz val="9"/>
    </font>
    <font>
      <name val="Calibri"/>
      <color rgb="000000FF"/>
      <sz val="8"/>
    </font>
    <font>
      <name val="Calibri"/>
      <b val="1"/>
      <color rgb="004A9FD4"/>
      <sz val="14"/>
    </font>
    <font>
      <name val="Calibri"/>
      <b val="1"/>
      <color rgb="000D1B2A"/>
      <sz val="9"/>
    </font>
    <font>
      <name val="Calibri"/>
      <b val="1"/>
      <color rgb="000D1B2A"/>
      <sz val="10"/>
    </font>
    <font>
      <name val="Calibri"/>
      <b val="1"/>
      <color rgb="00F5C542"/>
      <sz val="14"/>
    </font>
    <font>
      <name val="Calibri"/>
      <b val="1"/>
      <color rgb="00E03E3E"/>
      <sz val="14"/>
    </font>
    <font>
      <name val="Calibri"/>
      <color rgb="00F0F4F8"/>
      <sz val="9"/>
    </font>
    <font>
      <name val="Calibri"/>
      <color rgb="00F5C542"/>
      <sz val="9"/>
    </font>
    <font>
      <name val="Calibri"/>
      <b val="1"/>
      <color rgb="002E86AB"/>
      <sz val="13"/>
    </font>
    <font>
      <name val="Calibri"/>
      <i val="1"/>
      <color rgb="006B7280"/>
      <sz val="8"/>
    </font>
    <font>
      <name val="Calibri"/>
      <i val="1"/>
      <color rgb="00E03E3E"/>
      <sz val="10"/>
    </font>
  </fonts>
  <fills count="17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A2F4A"/>
      </patternFill>
    </fill>
    <fill>
      <patternFill patternType="solid">
        <fgColor rgb="00E03E3E"/>
      </patternFill>
    </fill>
    <fill>
      <patternFill patternType="solid">
        <fgColor rgb="001E3A5F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D6E4F0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EC"/>
      </patternFill>
    </fill>
    <fill>
      <patternFill patternType="solid">
        <fgColor rgb="004A9FD4"/>
      </patternFill>
    </fill>
    <fill>
      <patternFill patternType="solid">
        <fgColor rgb="00F5C542"/>
      </patternFill>
    </fill>
    <fill>
      <patternFill patternType="solid">
        <fgColor rgb="003D1010"/>
      </patternFill>
    </fill>
  </fills>
  <borders count="4">
    <border>
      <left/>
      <right/>
      <top/>
      <bottom/>
      <diagonal/>
    </border>
    <border>
      <left style="thin">
        <color rgb="003A3F4B"/>
      </left>
      <right style="thin">
        <color rgb="003A3F4B"/>
      </right>
      <top style="thin">
        <color rgb="003A3F4B"/>
      </top>
      <bottom style="thin">
        <color rgb="003A3F4B"/>
      </bottom>
    </border>
    <border>
      <left style="medium">
        <color rgb="004472C4"/>
      </left>
      <right style="medium">
        <color rgb="004472C4"/>
      </right>
      <top style="medium">
        <color rgb="004472C4"/>
      </top>
      <bottom style="medium">
        <color rgb="004472C4"/>
      </bottom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3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right" vertical="center"/>
    </xf>
    <xf numFmtId="0" fontId="5" fillId="3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right" vertical="center"/>
    </xf>
    <xf numFmtId="0" fontId="7" fillId="2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right" vertical="center"/>
    </xf>
    <xf numFmtId="0" fontId="8" fillId="3" borderId="0" applyAlignment="1" pivotButton="0" quotePrefix="0" xfId="0">
      <alignment horizontal="left" vertical="top" wrapText="1"/>
    </xf>
    <xf numFmtId="0" fontId="9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10" fillId="0" borderId="0" applyAlignment="1" pivotButton="0" quotePrefix="0" xfId="0">
      <alignment horizontal="right" vertical="center"/>
    </xf>
    <xf numFmtId="0" fontId="11" fillId="7" borderId="2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3" fillId="0" borderId="0" pivotButton="0" quotePrefix="0" xfId="0"/>
    <xf numFmtId="0" fontId="6" fillId="8" borderId="3" applyAlignment="1" pivotButton="0" quotePrefix="0" xfId="0">
      <alignment horizontal="center" vertical="center"/>
    </xf>
    <xf numFmtId="0" fontId="12" fillId="9" borderId="0" applyAlignment="1" pivotButton="0" quotePrefix="0" xfId="0">
      <alignment horizontal="center" vertical="center"/>
    </xf>
    <xf numFmtId="0" fontId="14" fillId="9" borderId="3" applyAlignment="1" pivotButton="0" quotePrefix="0" xfId="0">
      <alignment horizontal="left" vertical="center"/>
    </xf>
    <xf numFmtId="0" fontId="15" fillId="10" borderId="3" applyAlignment="1" pivotButton="0" quotePrefix="0" xfId="0">
      <alignment horizontal="left" vertical="center"/>
    </xf>
    <xf numFmtId="3" fontId="16" fillId="10" borderId="3" applyAlignment="1" pivotButton="0" quotePrefix="0" xfId="0">
      <alignment horizontal="right" vertical="center"/>
    </xf>
    <xf numFmtId="3" fontId="15" fillId="10" borderId="3" applyAlignment="1" pivotButton="0" quotePrefix="0" xfId="0">
      <alignment horizontal="right" vertical="center"/>
    </xf>
    <xf numFmtId="0" fontId="17" fillId="6" borderId="3" applyAlignment="1" pivotButton="0" quotePrefix="0" xfId="0">
      <alignment horizontal="left" vertical="center"/>
    </xf>
    <xf numFmtId="164" fontId="17" fillId="6" borderId="3" applyAlignment="1" pivotButton="0" quotePrefix="0" xfId="0">
      <alignment horizontal="right" vertical="center"/>
    </xf>
    <xf numFmtId="164" fontId="18" fillId="6" borderId="3" applyAlignment="1" pivotButton="0" quotePrefix="0" xfId="0">
      <alignment horizontal="right" vertical="center"/>
    </xf>
    <xf numFmtId="0" fontId="19" fillId="10" borderId="3" applyAlignment="1" pivotButton="0" quotePrefix="0" xfId="0">
      <alignment horizontal="left" vertical="center"/>
    </xf>
    <xf numFmtId="3" fontId="20" fillId="10" borderId="3" applyAlignment="1" pivotButton="0" quotePrefix="0" xfId="0">
      <alignment horizontal="right" vertical="center"/>
    </xf>
    <xf numFmtId="3" fontId="19" fillId="10" borderId="3" applyAlignment="1" pivotButton="0" quotePrefix="0" xfId="0">
      <alignment horizontal="right" vertical="center"/>
    </xf>
    <xf numFmtId="0" fontId="15" fillId="6" borderId="3" applyAlignment="1" pivotButton="0" quotePrefix="0" xfId="0">
      <alignment horizontal="left" vertical="center"/>
    </xf>
    <xf numFmtId="3" fontId="16" fillId="6" borderId="3" applyAlignment="1" pivotButton="0" quotePrefix="0" xfId="0">
      <alignment horizontal="right" vertical="center"/>
    </xf>
    <xf numFmtId="3" fontId="15" fillId="6" borderId="3" applyAlignment="1" pivotButton="0" quotePrefix="0" xfId="0">
      <alignment horizontal="right" vertical="center"/>
    </xf>
    <xf numFmtId="0" fontId="17" fillId="10" borderId="3" applyAlignment="1" pivotButton="0" quotePrefix="0" xfId="0">
      <alignment horizontal="left" vertical="center"/>
    </xf>
    <xf numFmtId="164" fontId="17" fillId="10" borderId="3" applyAlignment="1" pivotButton="0" quotePrefix="0" xfId="0">
      <alignment horizontal="right" vertical="center"/>
    </xf>
    <xf numFmtId="164" fontId="18" fillId="10" borderId="3" applyAlignment="1" pivotButton="0" quotePrefix="0" xfId="0">
      <alignment horizontal="right" vertical="center"/>
    </xf>
    <xf numFmtId="0" fontId="19" fillId="6" borderId="3" applyAlignment="1" pivotButton="0" quotePrefix="0" xfId="0">
      <alignment horizontal="left" vertical="center"/>
    </xf>
    <xf numFmtId="3" fontId="20" fillId="6" borderId="3" applyAlignment="1" pivotButton="0" quotePrefix="0" xfId="0">
      <alignment horizontal="right" vertical="center"/>
    </xf>
    <xf numFmtId="3" fontId="19" fillId="6" borderId="3" applyAlignment="1" pivotButton="0" quotePrefix="0" xfId="0">
      <alignment horizontal="right" vertical="center"/>
    </xf>
    <xf numFmtId="0" fontId="15" fillId="11" borderId="3" applyAlignment="1" pivotButton="0" quotePrefix="0" xfId="0">
      <alignment horizontal="left" vertical="center"/>
    </xf>
    <xf numFmtId="3" fontId="16" fillId="11" borderId="3" applyAlignment="1" pivotButton="0" quotePrefix="0" xfId="0">
      <alignment horizontal="right" vertical="center"/>
    </xf>
    <xf numFmtId="3" fontId="15" fillId="11" borderId="3" applyAlignment="1" pivotButton="0" quotePrefix="0" xfId="0">
      <alignment horizontal="right" vertical="center"/>
    </xf>
    <xf numFmtId="164" fontId="16" fillId="7" borderId="3" applyAlignment="1" pivotButton="0" quotePrefix="0" xfId="0">
      <alignment horizontal="right" vertical="center"/>
    </xf>
    <xf numFmtId="2" fontId="16" fillId="7" borderId="3" applyAlignment="1" pivotButton="0" quotePrefix="0" xfId="0">
      <alignment horizontal="right" vertical="center"/>
    </xf>
    <xf numFmtId="164" fontId="15" fillId="11" borderId="3" applyAlignment="1" pivotButton="0" quotePrefix="0" xfId="0">
      <alignment horizontal="right" vertical="center"/>
    </xf>
    <xf numFmtId="0" fontId="12" fillId="6" borderId="0" applyAlignment="1" pivotButton="0" quotePrefix="0" xfId="0">
      <alignment horizontal="left" vertical="top" wrapText="1"/>
    </xf>
    <xf numFmtId="165" fontId="20" fillId="10" borderId="3" applyAlignment="1" pivotButton="0" quotePrefix="0" xfId="0">
      <alignment horizontal="right" vertical="center"/>
    </xf>
    <xf numFmtId="165" fontId="19" fillId="10" borderId="3" applyAlignment="1" pivotButton="0" quotePrefix="0" xfId="0">
      <alignment horizontal="right" vertical="center"/>
    </xf>
    <xf numFmtId="3" fontId="20" fillId="7" borderId="3" applyAlignment="1" pivotButton="0" quotePrefix="0" xfId="0">
      <alignment horizontal="right" vertical="center"/>
    </xf>
    <xf numFmtId="166" fontId="20" fillId="7" borderId="3" applyAlignment="1" pivotButton="0" quotePrefix="0" xfId="0">
      <alignment horizontal="right" vertical="center"/>
    </xf>
    <xf numFmtId="167" fontId="15" fillId="11" borderId="3" applyAlignment="1" pivotButton="0" quotePrefix="0" xfId="0">
      <alignment horizontal="right" vertical="center"/>
    </xf>
    <xf numFmtId="167" fontId="20" fillId="7" borderId="3" applyAlignment="1" pivotButton="0" quotePrefix="0" xfId="0">
      <alignment horizontal="right" vertical="center"/>
    </xf>
    <xf numFmtId="168" fontId="15" fillId="11" borderId="3" applyAlignment="1" pivotButton="0" quotePrefix="0" xfId="0">
      <alignment horizontal="right" vertical="center"/>
    </xf>
    <xf numFmtId="164" fontId="19" fillId="10" borderId="3" applyAlignment="1" pivotButton="0" quotePrefix="0" xfId="0">
      <alignment horizontal="right" vertical="center"/>
    </xf>
    <xf numFmtId="167" fontId="19" fillId="10" borderId="3" applyAlignment="1" pivotButton="0" quotePrefix="0" xfId="0">
      <alignment horizontal="right" vertical="center"/>
    </xf>
    <xf numFmtId="168" fontId="19" fillId="10" borderId="3" applyAlignment="1" pivotButton="0" quotePrefix="0" xfId="0">
      <alignment horizontal="right" vertical="center"/>
    </xf>
    <xf numFmtId="0" fontId="15" fillId="12" borderId="3" applyAlignment="1" pivotButton="0" quotePrefix="0" xfId="0">
      <alignment horizontal="left" vertical="center"/>
    </xf>
    <xf numFmtId="164" fontId="19" fillId="6" borderId="3" applyAlignment="1" pivotButton="0" quotePrefix="0" xfId="0">
      <alignment horizontal="right" vertical="center"/>
    </xf>
    <xf numFmtId="167" fontId="19" fillId="6" borderId="3" applyAlignment="1" pivotButton="0" quotePrefix="0" xfId="0">
      <alignment horizontal="right" vertical="center"/>
    </xf>
    <xf numFmtId="168" fontId="19" fillId="6" borderId="3" applyAlignment="1" pivotButton="0" quotePrefix="0" xfId="0">
      <alignment horizontal="right" vertical="center"/>
    </xf>
    <xf numFmtId="0" fontId="15" fillId="13" borderId="3" applyAlignment="1" pivotButton="0" quotePrefix="0" xfId="0">
      <alignment horizontal="left" vertical="center"/>
    </xf>
    <xf numFmtId="0" fontId="15" fillId="7" borderId="3" applyAlignment="1" pivotButton="0" quotePrefix="0" xfId="0">
      <alignment horizontal="left" vertical="center"/>
    </xf>
    <xf numFmtId="0" fontId="15" fillId="6" borderId="3" applyAlignment="1" pivotButton="0" quotePrefix="0" xfId="0">
      <alignment horizontal="right" vertical="center"/>
    </xf>
    <xf numFmtId="167" fontId="15" fillId="6" borderId="3" applyAlignment="1" pivotButton="0" quotePrefix="0" xfId="0">
      <alignment horizontal="right" vertical="center"/>
    </xf>
    <xf numFmtId="168" fontId="15" fillId="6" borderId="3" applyAlignment="1" pivotButton="0" quotePrefix="0" xfId="0">
      <alignment horizontal="right" vertical="center"/>
    </xf>
    <xf numFmtId="164" fontId="21" fillId="6" borderId="3" applyAlignment="1" pivotButton="0" quotePrefix="0" xfId="0">
      <alignment horizontal="right" vertical="center"/>
    </xf>
    <xf numFmtId="164" fontId="21" fillId="10" borderId="3" applyAlignment="1" pivotButton="0" quotePrefix="0" xfId="0">
      <alignment horizontal="right" vertical="center"/>
    </xf>
    <xf numFmtId="169" fontId="21" fillId="6" borderId="3" applyAlignment="1" pivotButton="0" quotePrefix="0" xfId="0">
      <alignment horizontal="right" vertical="center"/>
    </xf>
    <xf numFmtId="0" fontId="22" fillId="3" borderId="0" applyAlignment="1" pivotButton="0" quotePrefix="0" xfId="0">
      <alignment horizontal="left" vertical="center"/>
    </xf>
    <xf numFmtId="0" fontId="23" fillId="14" borderId="1" applyAlignment="1" pivotButton="0" quotePrefix="0" xfId="0">
      <alignment horizontal="left" vertical="center"/>
    </xf>
    <xf numFmtId="0" fontId="23" fillId="14" borderId="1" applyAlignment="1" pivotButton="0" quotePrefix="0" xfId="0">
      <alignment horizontal="right" vertical="center"/>
    </xf>
    <xf numFmtId="0" fontId="24" fillId="15" borderId="0" applyAlignment="1" pivotButton="0" quotePrefix="0" xfId="0">
      <alignment horizontal="left" vertical="center"/>
    </xf>
    <xf numFmtId="0" fontId="24" fillId="15" borderId="0" applyAlignment="1" pivotButton="0" quotePrefix="0" xfId="0">
      <alignment horizontal="right" vertical="center"/>
    </xf>
    <xf numFmtId="0" fontId="25" fillId="3" borderId="0" applyAlignment="1" pivotButton="0" quotePrefix="0" xfId="0">
      <alignment horizontal="left" vertical="center"/>
    </xf>
    <xf numFmtId="0" fontId="26" fillId="3" borderId="0" applyAlignment="1" pivotButton="0" quotePrefix="0" xfId="0">
      <alignment horizontal="left" vertical="center"/>
    </xf>
    <xf numFmtId="0" fontId="27" fillId="16" borderId="0" applyAlignment="1" pivotButton="0" quotePrefix="0" xfId="0">
      <alignment horizontal="left" vertical="top" wrapText="1"/>
    </xf>
    <xf numFmtId="0" fontId="7" fillId="16" borderId="1" applyAlignment="1" pivotButton="0" quotePrefix="0" xfId="0">
      <alignment horizontal="left" vertical="center"/>
    </xf>
    <xf numFmtId="0" fontId="7" fillId="16" borderId="1" applyAlignment="1" pivotButton="0" quotePrefix="0" xfId="0">
      <alignment horizontal="right" vertical="center"/>
    </xf>
    <xf numFmtId="0" fontId="28" fillId="2" borderId="0" applyAlignment="1" pivotButton="0" quotePrefix="0" xfId="0">
      <alignment horizontal="left" vertical="center" wrapText="1"/>
    </xf>
    <xf numFmtId="0" fontId="29" fillId="3" borderId="0" applyAlignment="1" pivotButton="0" quotePrefix="0" xfId="0">
      <alignment horizontal="left" vertical="center"/>
    </xf>
    <xf numFmtId="0" fontId="30" fillId="2" borderId="0" applyAlignment="1" pivotButton="0" quotePrefix="0" xfId="0">
      <alignment horizontal="left" vertical="center"/>
    </xf>
    <xf numFmtId="0" fontId="3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DCF Agent</author>
  </authors>
  <commentList>
    <comment ref="B31" authorId="0" shapeId="0">
      <text>
        <t>60-month regression beta vs SPY = 1.75 (provided). Reflects extreme AI-cycle sensitivity, high operating leverage on low-GM assembly model, and idiosyncratic volatility from 2024 Hindenburg short report, delayed 10-K filing, and Oct-2025 Wally Liaw DoJ indictment. No adjustment — computed beta already captures governance-driven beta expansion.</t>
      </text>
    </comment>
    <comment ref="B69" authorId="0" shapeId="0">
      <text>
        <t>Anchored to Street FY26 mean $40,789mm (6-analyst consensus). 40% growth off TTM $28,057mm = $39,280mm — 3.7% discount to Street reflecting our variant view that Q2FY26 non-GAAP GM 6.4% (Susquehanna) signals more severe volume/mix deterioration than Street models. Management did NOT provide parseable structured FY guidance in 2026-02-03 8-K (stock -0.1%, in-line), so anchor is consensus not guidance. Below FY25 YoY of +82%.</t>
      </text>
    </comment>
    <comment ref="C69" authorId="0" shapeId="0">
      <text>
        <t>Hyperscaler GPU allocation normalizes post 2025-2026 AI capex peak. Consensus FY27 implies high-teens growth; we discount to 8% reflecting (a) Dell/HPE regaining share with liquid-cooling parity, (b) ODM (Wiwynn, Quanta) direct hyperscaler wins compressing SMCI share. Below 8-year CAGR (31.0% FY17→FY25) — convergence reason: AI-driven super-cycle normalizing.</t>
      </text>
    </comment>
    <comment ref="D69" authorId="0" shapeId="0">
      <text>
        <t>Consistent with thesis variant-view base. Reflects SMCI reverting to a mature enterprise-server CAGR (~3-4%) once AI buildout moderates and governance overhang caps enterprise accounts. Well below 8yr CAGR of 31%; divergence justified because the historical CAGR is dominated by a non-repeatable 2023-2025 AI rack cycle.</t>
      </text>
    </comment>
    <comment ref="E69" authorId="0" shapeId="0">
      <text>
        <t>Approaching terminal. Server TAM growth (IDC) ~3-5% long-run; SMCI below-market on share loss and governance discount to enterprise IT buyers.</t>
      </text>
    </comment>
    <comment ref="F69" authorId="0" shapeId="0">
      <text>
        <t>Terminal convergence. Matches nominal GDP; no durable moat (thesis moat = none) justifies above-GDP growth at maturity.</t>
      </text>
    </comment>
    <comment ref="B71" authorId="0" shapeId="0">
      <text>
        <t>GAAP EBIT. TTM EBIT margin 3.7%; modest degradation to 3.5% as component cost inflation and post-indictment compliance/legal costs absorb scale benefits. GM at 7.5% (variant view) × (1 - opex ratio 4.0%) ≈ 3.5%.</t>
      </text>
    </comment>
    <comment ref="C71" authorId="0" shapeId="0">
      <text>
        <t>Further compression as hyperscaler pricing power tightens and GPU passthrough margin thins. Consistent with thesis base yr2 path (between yr1 and yr3 terminal).</t>
      </text>
    </comment>
    <comment ref="D71" authorId="0" shapeId="0">
      <text>
        <t>Thesis base yr3 explicit = 2.8%. Reflects FY28 steady-state governance-impaired GPU-assembler margin; 175bps below FY25 GAAP 5.7%, 90bps below TTM 3.7%.</t>
      </text>
    </comment>
    <comment ref="E71" authorId="0" shapeId="0">
      <text>
        <t>Margins stabilize at structurally impaired floor; no expansion since ROIC-WACC spread is only ~80bps and SMCI lacks differentiated IP to drive pricing.</t>
      </text>
    </comment>
    <comment ref="F71" authorId="0" shapeId="0">
      <text>
        <t>Terminal-year margin. GAAP EBIT basis.</t>
      </text>
    </comment>
    <comment ref="B76" authorId="0" shapeId="0">
      <text>
        <t>2.0% = long-run U.S. nominal GDP. No premium: thesis moat = none, earnings quality score 3/5, product_sale business with no recurring revenue. Hardware-assembly businesses do not earn terminal multiples above GDP.</t>
      </text>
    </comment>
    <comment ref="B77" authorId="0" shapeId="0">
      <text>
        <t>7.0x applied to GAAP EBITDA (EBIT + D&amp;A). SMCI SBC historically &lt;2% of revenue (hardware-assembly cost structure, not SaaS), so SBC-adjusted EBITDA basis does not apply here — GAAP is the correct denominator. Peer median NTM EV/EBITDA = 11.85x; 7.0x = 40.9% discount consistent with thesis rationale of governance impairment (DoJ overhang, audit-committee remediation pending, consecutive earnings misses — 2025-11-04 -6.6% stock reaction). BofA PT $24 and Northland PT $22 imply 6-8x FY26 EBITDA, corroborating 7x as comps-grounded.</t>
      </text>
    </comment>
    <comment ref="B81" authorId="0" shapeId="0">
      <text>
        <t>Matches Street FY26 mean of $40,789mm exactly (45% * $28,057 = $40,683). Consensus view — hyperscaler AI capex holds into 2026 and SMCI retains GB200/GB300 rack share.</t>
      </text>
    </comment>
    <comment ref="C81" authorId="0" shapeId="0">
      <text>
        <t>AI capex super-cycle extends — DLC liquid-cooled rack platform captures incremental hyperscaler share (aligned with META/MSFT CY2026 capex raises). Above consensus normalization path.</t>
      </text>
    </comment>
    <comment ref="D81" authorId="0" shapeId="0">
      <text>
        <t>Sustained AI buildout through FY28. Thesis bull yr3 = 10% explicit. Well above 8yr CAGR only because we're still in super-cycle extension.</t>
      </text>
    </comment>
    <comment ref="E81" authorId="0" shapeId="0">
      <text>
        <t>Moderation as AI capex normalizes but SMCI retains elevated share.</t>
      </text>
    </comment>
    <comment ref="F81" authorId="0" shapeId="0">
      <text>
        <t>Converging to terminal; still above GDP reflecting secular server TAM growth.</t>
      </text>
    </comment>
    <comment ref="B83" authorId="0" shapeId="0">
      <text>
        <t>GM at 9.0% (bull variant view) flows through; opex leverage on higher revenue. Below consensus EBIT implied by 5% EBITDA margin (which implies ~4.2% EBIT). Modest governance discount retained.</t>
      </text>
    </comment>
    <comment ref="C83" authorId="0" shapeId="0">
      <text>
        <t>Mix normalization as DLC rack attach rate rises; SMCI earns modest premium on differentiated rack-scale integration.</t>
      </text>
    </comment>
    <comment ref="D83" authorId="0" shapeId="0">
      <text>
        <t>Thesis bull yr3 = 4.5%. Consistent with consensus 5% EBITDA margin (EBIT = EBITDA - D&amp;A at ~0.9% of rev).</t>
      </text>
    </comment>
    <comment ref="E83" authorId="0" shapeId="0">
      <text>
        <t>Stable at bull-case terminal level.</t>
      </text>
    </comment>
    <comment ref="F83" authorId="0" shapeId="0">
      <text>
        <t>Terminal.</t>
      </text>
    </comment>
    <comment ref="B93" authorId="0" shapeId="0">
      <text>
        <t>Thesis works — GM collapses further, some hyperscaler orders shift to Dell/HPE/ODMs. $28,057 * 1.30 = $36,474. 11% discount to Street $40,789. Note: thesis-killer risk (AI super-cycle extends and SMCI retains share) would instead push yr1 to +55-60% and PT to $82-$200 — we are NOT modeling thesis-killer here because it is the SHORT's bear (adverse-to-thesis), not the valuation bear; see critical_assumptions.</t>
      </text>
    </comment>
    <comment ref="C93" authorId="0" shapeId="0">
      <text>
        <t>Thesis bear yr2 = -5%. Hyperscaler orders pull forward into FY26, followed by digestion air-pocket; compounded by any DoJ/BIS secondary action or new audit-committee disclosure in FY26 10-K triggering enterprise-account pauses.</t>
      </text>
    </comment>
    <comment ref="D93" authorId="0" shapeId="0">
      <text>
        <t>Continued share loss; enterprise channel impaired by repeated guidance misses (2025-11-04 -6.6%) and governance overhang. [reconciled: Thesis rationale describes a severe bear (DoJ escalation, hyperscaler pause, compliance drag) yet drifts to +2% Y3 growth — inconsistent with the narrative. DCF cites specific evidence (2025-11-04 -6.6% guidance miss, enterprise channel impairment) to justify -2% decline, which fits the distressed trajectory the thesis itself describes.]</t>
      </text>
    </comment>
    <comment ref="E93" authorId="0" shapeId="0">
      <text>
        <t>Stabilization at low base; server TAM growth floor pulls modest positive.</t>
      </text>
    </comment>
    <comment ref="F93" authorId="0" shapeId="0">
      <text>
        <t>Terminal convergence to GDP.</t>
      </text>
    </comment>
    <comment ref="B95" authorId="0" shapeId="0">
      <text>
        <t>GM at 6.0% (bear variant view) with opex largely fixed — significant deleverage. Consistent with Q2FY26 non-GAAP GM 6.4% trajectory continuing.</t>
      </text>
    </comment>
    <comment ref="C95" authorId="0" shapeId="0">
      <text>
        <t>Revenue contraction (-5%) amplifies opex deleverage; near-breakeven GAAP EBIT.</t>
      </text>
    </comment>
    <comment ref="D95" authorId="0" shapeId="0">
      <text>
        <t>Thesis bear yr3 = 0.5%. Essentially breakeven operating business — GPU-assembler margin floor where SMCI is a pass-through for NVIDIA content with minimal value capture.</t>
      </text>
    </comment>
    <comment ref="E95" authorId="0" shapeId="0">
      <text>
        <t>Modest recovery as SMCI right-sizes opex to lower revenue base.</t>
      </text>
    </comment>
    <comment ref="F95" authorId="0" shapeId="0">
      <text>
        <t>Terminal floor — structurally impaired margin profile.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4A9FD4"/>
    <outlinePr summaryBelow="1" summaryRight="1"/>
    <pageSetUpPr/>
  </sheetPr>
  <dimension ref="A1:P6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</cols>
  <sheetData>
    <row r="1" ht="28" customHeight="1">
      <c r="A1" s="1" t="inlineStr">
        <is>
          <t>SMCI (SMCI)  —  INVESTMENT SUMMARY</t>
        </is>
      </c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Generated: April 22, 2026  |  Analyst: Proprietary Research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4" t="inlineStr">
        <is>
          <t>SELL</t>
        </is>
      </c>
      <c r="C4" s="3" t="inlineStr">
        <is>
          <t>Current Price</t>
        </is>
      </c>
      <c r="D4" s="5" t="inlineStr">
        <is>
          <t>$29.18</t>
        </is>
      </c>
      <c r="E4" s="3" t="inlineStr">
        <is>
          <t>DCF Expected Return</t>
        </is>
      </c>
      <c r="F4" s="5" t="inlineStr">
        <is>
          <t>-70.2%</t>
        </is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4" customHeight="1">
      <c r="C5" s="3" t="inlineStr">
        <is>
          <t>12M Price Target</t>
        </is>
      </c>
      <c r="D5" s="5" t="inlineStr">
        <is>
          <t>$9</t>
        </is>
      </c>
      <c r="E5" s="3" t="inlineStr">
        <is>
          <t>Analyst Mean Target</t>
        </is>
      </c>
      <c r="F5" s="5" t="inlineStr">
        <is>
          <t>N/A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2" t="n"/>
      <c r="C6" s="3" t="inlineStr">
        <is>
          <t>Expected Return</t>
        </is>
      </c>
      <c r="D6" s="5" t="inlineStr">
        <is>
          <t>-70.2%</t>
        </is>
      </c>
      <c r="E6" s="3" t="inlineStr">
        <is>
          <t># Sell-side Analysts</t>
        </is>
      </c>
      <c r="F6" s="5" t="inlineStr">
        <is>
          <t>N/A</t>
        </is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2" t="n"/>
      <c r="C7" s="3" t="inlineStr">
        <is>
          <t>Conviction Level</t>
        </is>
      </c>
      <c r="D7" s="5" t="inlineStr">
        <is>
          <t>4/5</t>
        </is>
      </c>
      <c r="E7" s="3" t="inlineStr">
        <is>
          <t>Quality Score</t>
        </is>
      </c>
      <c r="F7" s="5" t="inlineStr">
        <is>
          <t>0.0/10</t>
        </is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2" t="n"/>
      <c r="C8" s="3" t="inlineStr">
        <is>
          <t>DCF Expected Value</t>
        </is>
      </c>
      <c r="D8" s="5" t="inlineStr">
        <is>
          <t>$8.69</t>
        </is>
      </c>
      <c r="E8" s="3" t="inlineStr">
        <is>
          <t>Sector</t>
        </is>
      </c>
      <c r="F8" s="5" t="inlineStr">
        <is>
          <t>—</t>
        </is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6" t="inlineStr">
        <is>
          <t>MARKET VALUATION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7" t="inlineStr">
        <is>
          <t>Metric</t>
        </is>
      </c>
      <c r="B11" s="7" t="inlineStr">
        <is>
          <t>Current</t>
        </is>
      </c>
      <c r="C11" s="7" t="inlineStr">
        <is>
          <t>Metric</t>
        </is>
      </c>
      <c r="D11" s="7" t="inlineStr">
        <is>
          <t>Current</t>
        </is>
      </c>
      <c r="E11" s="7" t="inlineStr">
        <is>
          <t>Metric</t>
        </is>
      </c>
      <c r="F11" s="7" t="inlineStr">
        <is>
          <t>Current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8" t="inlineStr">
        <is>
          <t>Trailing P/E</t>
        </is>
      </c>
      <c r="B12" s="9" t="inlineStr">
        <is>
          <t>—x</t>
        </is>
      </c>
      <c r="C12" s="9" t="inlineStr">
        <is>
          <t>Forward P/E</t>
        </is>
      </c>
      <c r="D12" s="9" t="inlineStr">
        <is>
          <t>—x</t>
        </is>
      </c>
      <c r="E12" s="9" t="inlineStr">
        <is>
          <t>EV/EBITDA</t>
        </is>
      </c>
      <c r="F12" s="9" t="inlineStr">
        <is>
          <t>—x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10" t="inlineStr">
        <is>
          <t>EV/Revenue</t>
        </is>
      </c>
      <c r="B13" s="11" t="inlineStr">
        <is>
          <t>—x</t>
        </is>
      </c>
      <c r="C13" s="11" t="inlineStr">
        <is>
          <t>Price/Book</t>
        </is>
      </c>
      <c r="D13" s="11" t="inlineStr">
        <is>
          <t>—x</t>
        </is>
      </c>
      <c r="E13" s="11" t="inlineStr">
        <is>
          <t>FCF Yield</t>
        </is>
      </c>
      <c r="F13" s="11" t="inlineStr">
        <is>
          <t>—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6" t="inlineStr">
        <is>
          <t>PROFITABILITY &amp; RETURNS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7" t="inlineStr">
        <is>
          <t>Metric</t>
        </is>
      </c>
      <c r="B16" s="7" t="inlineStr">
        <is>
          <t>Value</t>
        </is>
      </c>
      <c r="C16" s="7" t="inlineStr">
        <is>
          <t>Metric</t>
        </is>
      </c>
      <c r="D16" s="7" t="inlineStr">
        <is>
          <t>Value</t>
        </is>
      </c>
      <c r="E16" s="7" t="inlineStr">
        <is>
          <t>Metric</t>
        </is>
      </c>
      <c r="F16" s="7" t="inlineStr">
        <is>
          <t>Value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10" t="inlineStr">
        <is>
          <t>Gross Margin</t>
        </is>
      </c>
      <c r="B17" s="11" t="inlineStr">
        <is>
          <t>—</t>
        </is>
      </c>
      <c r="C17" s="11" t="inlineStr">
        <is>
          <t>Operating Margin</t>
        </is>
      </c>
      <c r="D17" s="11" t="inlineStr">
        <is>
          <t>—</t>
        </is>
      </c>
      <c r="E17" s="11" t="inlineStr">
        <is>
          <t>Net Margin</t>
        </is>
      </c>
      <c r="F17" s="11" t="inlineStr">
        <is>
          <t>—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8" t="inlineStr">
        <is>
          <t>Return on Equity</t>
        </is>
      </c>
      <c r="B18" s="9" t="inlineStr">
        <is>
          <t>—</t>
        </is>
      </c>
      <c r="C18" s="9" t="inlineStr">
        <is>
          <t>Return on Assets</t>
        </is>
      </c>
      <c r="D18" s="9" t="inlineStr">
        <is>
          <t>—</t>
        </is>
      </c>
      <c r="E18" s="9" t="inlineStr">
        <is>
          <t>Revenue TTM</t>
        </is>
      </c>
      <c r="F18" s="9" t="inlineStr">
        <is>
          <t>$28.1B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6" t="inlineStr">
        <is>
          <t>VARIANT VIEW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 ht="80" customHeight="1">
      <c r="A21" s="12" t="inlineStr">
        <is>
          <t>CONSENSUS ASSUMES SMCI FY26 EBITDA margin stabilizes near 5.0% ($2,054mm on $40,789mm revenue per Street mean, implying $33.20 HOLD PT). OUR VIEW: margin compression is structural (GM collapsed from 18.1% FY23 → 8.0% TTM → 6.4% non-GAAP Q2FY26 per Susquehanna) and will continue as hyperscaler pricing power + post-DoJ-indictment compliance costs + component cost inflation drive FY26 EBITDA margin to 3.5-4.0% (~$1,400-1,600mm), yielding a comps-implied fair value near $22 (8x bear EBITDA, in line with BofA PT $24 and Northland PT $22) — the market is under-discounting a governance-impaired GPU-assembler whose ROIC-WACC spread has compressed to ~80bps.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</sheetData>
  <mergeCells count="7">
    <mergeCell ref="A21:F24"/>
    <mergeCell ref="A4:B5"/>
    <mergeCell ref="A10:F10"/>
    <mergeCell ref="A2:H2"/>
    <mergeCell ref="A1:H1"/>
    <mergeCell ref="A20:F20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A04B"/>
    <outlinePr summaryBelow="1" summaryRight="1"/>
    <pageSetUpPr/>
  </sheetPr>
  <dimension ref="A1:T1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4" customWidth="1" min="13" max="13"/>
    <col width="4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</cols>
  <sheetData>
    <row r="1">
      <c r="A1" s="13" t="inlineStr">
        <is>
          <t>SMCI — INCOME STATEMENT MODEL &amp; DCF</t>
        </is>
      </c>
      <c r="G1" s="14" t="n"/>
      <c r="H1" s="15" t="inlineStr">
        <is>
          <t>Case:</t>
        </is>
      </c>
      <c r="I1" s="16" t="n">
        <v>1</v>
      </c>
      <c r="J1" s="17" t="inlineStr">
        <is>
          <t>1=Base  2=Bull  3=Bear</t>
        </is>
      </c>
    </row>
    <row r="2">
      <c r="O2" s="18" t="inlineStr">
        <is>
          <t>Base Rev Growth</t>
        </is>
      </c>
      <c r="P2" t="n">
        <v>0.4</v>
      </c>
      <c r="Q2" t="n">
        <v>0.08</v>
      </c>
      <c r="R2" t="n">
        <v>0.03</v>
      </c>
      <c r="S2" t="n">
        <v>0.025</v>
      </c>
      <c r="T2" t="n">
        <v>0.02</v>
      </c>
    </row>
    <row r="3">
      <c r="A3" s="14" t="inlineStr"/>
      <c r="B3" s="19" t="inlineStr">
        <is>
          <t>FY-4</t>
        </is>
      </c>
      <c r="C3" s="19" t="inlineStr">
        <is>
          <t>FY-3</t>
        </is>
      </c>
      <c r="D3" s="19" t="inlineStr">
        <is>
          <t>FY-2</t>
        </is>
      </c>
      <c r="E3" s="19" t="inlineStr">
        <is>
          <t>FY-1</t>
        </is>
      </c>
      <c r="F3" s="19" t="inlineStr">
        <is>
          <t>FY0</t>
        </is>
      </c>
      <c r="G3" s="14" t="inlineStr"/>
      <c r="H3" s="19" t="inlineStr">
        <is>
          <t>FY+1</t>
        </is>
      </c>
      <c r="I3" s="19" t="inlineStr">
        <is>
          <t>FY+2</t>
        </is>
      </c>
      <c r="J3" s="19" t="inlineStr">
        <is>
          <t>FY+3</t>
        </is>
      </c>
      <c r="K3" s="19" t="inlineStr">
        <is>
          <t>FY+4</t>
        </is>
      </c>
      <c r="L3" s="19" t="inlineStr">
        <is>
          <t>FY+5</t>
        </is>
      </c>
      <c r="O3" s="18" t="inlineStr">
        <is>
          <t>Bull Rev Growth</t>
        </is>
      </c>
      <c r="P3" t="n">
        <v>0.45</v>
      </c>
      <c r="Q3" t="n">
        <v>0.15</v>
      </c>
      <c r="R3" t="n">
        <v>0.1</v>
      </c>
      <c r="S3" t="n">
        <v>0.06</v>
      </c>
      <c r="T3" t="n">
        <v>0.04</v>
      </c>
    </row>
    <row r="4">
      <c r="B4" s="20" t="inlineStr">
        <is>
          <t>HISTORICAL</t>
        </is>
      </c>
      <c r="G4" s="14" t="n"/>
      <c r="H4" s="20">
        <f>CHOOSE($I$1,"PROJECTED (BASE CASE)","PROJECTED (BULL CASE)","PROJECTED (BEAR CASE)")</f>
        <v/>
      </c>
      <c r="O4" s="18" t="inlineStr">
        <is>
          <t>Bear Rev Growth</t>
        </is>
      </c>
      <c r="P4" t="n">
        <v>0.3</v>
      </c>
      <c r="Q4" t="n">
        <v>-0.05</v>
      </c>
      <c r="R4" t="n">
        <v>-0.02</v>
      </c>
      <c r="S4" t="n">
        <v>0.02</v>
      </c>
      <c r="T4" t="n">
        <v>0.02</v>
      </c>
    </row>
    <row r="5">
      <c r="A5" s="21" t="inlineStr">
        <is>
          <t>INCOME STATEMENT ($mm)</t>
        </is>
      </c>
      <c r="O5" s="18" t="inlineStr">
        <is>
          <t>Base EBIT Margin</t>
        </is>
      </c>
      <c r="P5" t="n">
        <v>0.035</v>
      </c>
      <c r="Q5" t="n">
        <v>0.03</v>
      </c>
      <c r="R5" t="n">
        <v>0.028</v>
      </c>
      <c r="S5" t="n">
        <v>0.028</v>
      </c>
      <c r="T5" t="n">
        <v>0.028</v>
      </c>
    </row>
    <row r="6">
      <c r="A6" s="22" t="inlineStr">
        <is>
          <t>Revenue</t>
        </is>
      </c>
      <c r="B6" s="23" t="n"/>
      <c r="C6" s="23" t="n"/>
      <c r="D6" s="23" t="n"/>
      <c r="E6" s="23" t="n"/>
      <c r="F6" s="23" t="n"/>
      <c r="G6" s="14" t="n"/>
      <c r="H6" s="24">
        <f>F6*(1+CHOOSE($I$1,P$2,P$3,P$4))</f>
        <v/>
      </c>
      <c r="I6" s="24">
        <f>H6*(1+CHOOSE($I$1,Q$2,Q$3,Q$4))</f>
        <v/>
      </c>
      <c r="J6" s="24">
        <f>I6*(1+CHOOSE($I$1,R$2,R$3,R$4))</f>
        <v/>
      </c>
      <c r="K6" s="24">
        <f>J6*(1+CHOOSE($I$1,S$2,S$3,S$4))</f>
        <v/>
      </c>
      <c r="L6" s="24">
        <f>K6*(1+CHOOSE($I$1,T$2,T$3,T$4))</f>
        <v/>
      </c>
      <c r="O6" s="18" t="inlineStr">
        <is>
          <t>Bull EBIT Margin</t>
        </is>
      </c>
      <c r="P6" t="n">
        <v>0.04</v>
      </c>
      <c r="Q6" t="n">
        <v>0.042</v>
      </c>
      <c r="R6" t="n">
        <v>0.045</v>
      </c>
      <c r="S6" t="n">
        <v>0.045</v>
      </c>
      <c r="T6" t="n">
        <v>0.045</v>
      </c>
    </row>
    <row r="7">
      <c r="A7" s="25" t="inlineStr">
        <is>
          <t xml:space="preserve">  YoY Growth %</t>
        </is>
      </c>
      <c r="B7" s="26" t="n"/>
      <c r="C7" s="26">
        <f>IF(B6=0,"",C6/B6-1)</f>
        <v/>
      </c>
      <c r="D7" s="26">
        <f>IF(C6=0,"",D6/C6-1)</f>
        <v/>
      </c>
      <c r="E7" s="26">
        <f>IF(D6=0,"",E6/D6-1)</f>
        <v/>
      </c>
      <c r="F7" s="26">
        <f>IF(E6=0,"",F6/E6-1)</f>
        <v/>
      </c>
      <c r="G7" s="14" t="n"/>
      <c r="H7" s="27">
        <f>IF(F6=0,"",H6/F6-1)</f>
        <v/>
      </c>
      <c r="I7" s="27">
        <f>IF(H6=0,"",I6/H6-1)</f>
        <v/>
      </c>
      <c r="J7" s="27">
        <f>IF(I6=0,"",J6/I6-1)</f>
        <v/>
      </c>
      <c r="K7" s="27">
        <f>IF(J6=0,"",K6/J6-1)</f>
        <v/>
      </c>
      <c r="L7" s="27">
        <f>IF(K6=0,"",L6/K6-1)</f>
        <v/>
      </c>
      <c r="O7" s="18" t="inlineStr">
        <is>
          <t>Bear EBIT Margin</t>
        </is>
      </c>
      <c r="P7" t="n">
        <v>0.015</v>
      </c>
      <c r="Q7" t="n">
        <v>0.008</v>
      </c>
      <c r="R7" t="n">
        <v>0.005</v>
      </c>
      <c r="S7" t="n">
        <v>0.008</v>
      </c>
      <c r="T7" t="n">
        <v>0.01</v>
      </c>
    </row>
    <row r="8">
      <c r="A8" s="28" t="inlineStr">
        <is>
          <t>COGS</t>
        </is>
      </c>
      <c r="B8" s="29" t="n"/>
      <c r="C8" s="29" t="n"/>
      <c r="D8" s="29" t="n"/>
      <c r="E8" s="29" t="n"/>
      <c r="F8" s="29" t="n"/>
      <c r="G8" s="14" t="n"/>
      <c r="H8" s="30">
        <f>H6*(1-CHOOSE($I$1,P$8,P$9,P$10))</f>
        <v/>
      </c>
      <c r="I8" s="30">
        <f>I6*(1-CHOOSE($I$1,Q$8,Q$9,Q$10))</f>
        <v/>
      </c>
      <c r="J8" s="30">
        <f>J6*(1-CHOOSE($I$1,R$8,R$9,R$10))</f>
        <v/>
      </c>
      <c r="K8" s="30">
        <f>K6*(1-CHOOSE($I$1,S$8,S$9,S$10))</f>
        <v/>
      </c>
      <c r="L8" s="30">
        <f>L6*(1-CHOOSE($I$1,T$8,T$9,T$10))</f>
        <v/>
      </c>
      <c r="O8" s="18" t="inlineStr">
        <is>
          <t>Base Gross Margin</t>
        </is>
      </c>
      <c r="P8" t="n">
        <v>0.075</v>
      </c>
      <c r="Q8" t="n">
        <v>0.075</v>
      </c>
      <c r="R8" t="n">
        <v>0.075</v>
      </c>
      <c r="S8" t="n">
        <v>0.075</v>
      </c>
      <c r="T8" t="n">
        <v>0.075</v>
      </c>
    </row>
    <row r="9">
      <c r="A9" s="25" t="inlineStr">
        <is>
          <t xml:space="preserve">  YoY Growth %</t>
        </is>
      </c>
      <c r="B9" s="26" t="n"/>
      <c r="C9" s="26">
        <f>IF(B8=0,"",C8/B8-1)</f>
        <v/>
      </c>
      <c r="D9" s="26">
        <f>IF(C8=0,"",D8/C8-1)</f>
        <v/>
      </c>
      <c r="E9" s="26">
        <f>IF(D8=0,"",E8/D8-1)</f>
        <v/>
      </c>
      <c r="F9" s="26">
        <f>IF(E8=0,"",F8/E8-1)</f>
        <v/>
      </c>
      <c r="G9" s="14" t="n"/>
      <c r="H9" s="27">
        <f>IF(F8=0,"",H8/F8-1)</f>
        <v/>
      </c>
      <c r="I9" s="27">
        <f>IF(H8=0,"",I8/H8-1)</f>
        <v/>
      </c>
      <c r="J9" s="27">
        <f>IF(I8=0,"",J8/I8-1)</f>
        <v/>
      </c>
      <c r="K9" s="27">
        <f>IF(J8=0,"",K8/J8-1)</f>
        <v/>
      </c>
      <c r="L9" s="27">
        <f>IF(K8=0,"",L8/K8-1)</f>
        <v/>
      </c>
      <c r="O9" s="18" t="inlineStr">
        <is>
          <t>Bull Gross Margin</t>
        </is>
      </c>
      <c r="P9" t="n">
        <v>0.09</v>
      </c>
      <c r="Q9" t="n">
        <v>0.09</v>
      </c>
      <c r="R9" t="n">
        <v>0.09</v>
      </c>
      <c r="S9" t="n">
        <v>0.09</v>
      </c>
      <c r="T9" t="n">
        <v>0.09</v>
      </c>
    </row>
    <row r="10">
      <c r="A10" s="22" t="inlineStr">
        <is>
          <t>Gross Profit</t>
        </is>
      </c>
      <c r="B10" s="23" t="n"/>
      <c r="C10" s="23" t="n"/>
      <c r="D10" s="23" t="n"/>
      <c r="E10" s="23" t="n"/>
      <c r="F10" s="23" t="n"/>
      <c r="G10" s="14" t="n"/>
      <c r="H10" s="24">
        <f>H6-H8</f>
        <v/>
      </c>
      <c r="I10" s="24">
        <f>I6-I8</f>
        <v/>
      </c>
      <c r="J10" s="24">
        <f>J6-J8</f>
        <v/>
      </c>
      <c r="K10" s="24">
        <f>K6-K8</f>
        <v/>
      </c>
      <c r="L10" s="24">
        <f>L6-L8</f>
        <v/>
      </c>
      <c r="O10" s="18" t="inlineStr">
        <is>
          <t>Bear Gross Margin</t>
        </is>
      </c>
      <c r="P10" t="n">
        <v>0.06</v>
      </c>
      <c r="Q10" t="n">
        <v>0.06</v>
      </c>
      <c r="R10" t="n">
        <v>0.06</v>
      </c>
      <c r="S10" t="n">
        <v>0.06</v>
      </c>
      <c r="T10" t="n">
        <v>0.06</v>
      </c>
    </row>
    <row r="11">
      <c r="A11" s="25" t="inlineStr">
        <is>
          <t xml:space="preserve">  Gross Margin %</t>
        </is>
      </c>
      <c r="B11" s="26">
        <f>IF(B6=0,"",B10/B6)</f>
        <v/>
      </c>
      <c r="C11" s="26">
        <f>IF(C6=0,"",C10/C6)</f>
        <v/>
      </c>
      <c r="D11" s="26">
        <f>IF(D6=0,"",D10/D6)</f>
        <v/>
      </c>
      <c r="E11" s="26">
        <f>IF(E6=0,"",E10/E6)</f>
        <v/>
      </c>
      <c r="F11" s="26">
        <f>IF(F6=0,"",F10/F6)</f>
        <v/>
      </c>
      <c r="G11" s="14" t="n"/>
      <c r="H11" s="27">
        <f>IF(H6=0,"",H10/H6)</f>
        <v/>
      </c>
      <c r="I11" s="27">
        <f>IF(I6=0,"",I10/I6)</f>
        <v/>
      </c>
      <c r="J11" s="27">
        <f>IF(J6=0,"",J10/J6)</f>
        <v/>
      </c>
      <c r="K11" s="27">
        <f>IF(K6=0,"",K10/K6)</f>
        <v/>
      </c>
      <c r="L11" s="27">
        <f>IF(L6=0,"",L10/L6)</f>
        <v/>
      </c>
      <c r="O11" s="18" t="inlineStr">
        <is>
          <t>Base SGA %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s="22" t="inlineStr">
        <is>
          <t>EBIT</t>
        </is>
      </c>
      <c r="B12" s="23" t="n"/>
      <c r="C12" s="23" t="n"/>
      <c r="D12" s="23" t="n"/>
      <c r="E12" s="23" t="n"/>
      <c r="F12" s="23" t="n"/>
      <c r="G12" s="14" t="n"/>
      <c r="H12" s="24">
        <f>H6*CHOOSE($I$1,P$5,P$6,P$7)</f>
        <v/>
      </c>
      <c r="I12" s="24">
        <f>I6*CHOOSE($I$1,Q$5,Q$6,Q$7)</f>
        <v/>
      </c>
      <c r="J12" s="24">
        <f>J6*CHOOSE($I$1,R$5,R$6,R$7)</f>
        <v/>
      </c>
      <c r="K12" s="24">
        <f>K6*CHOOSE($I$1,S$5,S$6,S$7)</f>
        <v/>
      </c>
      <c r="L12" s="24">
        <f>L6*CHOOSE($I$1,T$5,T$6,T$7)</f>
        <v/>
      </c>
      <c r="O12" s="18" t="inlineStr">
        <is>
          <t>Bull SGA %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s="25" t="inlineStr">
        <is>
          <t xml:space="preserve">  EBIT Margin %</t>
        </is>
      </c>
      <c r="B13" s="26">
        <f>IF(B6=0,"",B12/B6)</f>
        <v/>
      </c>
      <c r="C13" s="26">
        <f>IF(C6=0,"",C12/C6)</f>
        <v/>
      </c>
      <c r="D13" s="26">
        <f>IF(D6=0,"",D12/D6)</f>
        <v/>
      </c>
      <c r="E13" s="26">
        <f>IF(E6=0,"",E12/E6)</f>
        <v/>
      </c>
      <c r="F13" s="26">
        <f>IF(F6=0,"",F12/F6)</f>
        <v/>
      </c>
      <c r="G13" s="14" t="n"/>
      <c r="H13" s="27">
        <f>IF(H6=0,"",H12/H6)</f>
        <v/>
      </c>
      <c r="I13" s="27">
        <f>IF(I6=0,"",I12/I6)</f>
        <v/>
      </c>
      <c r="J13" s="27">
        <f>IF(J6=0,"",J12/J6)</f>
        <v/>
      </c>
      <c r="K13" s="27">
        <f>IF(K6=0,"",K12/K6)</f>
        <v/>
      </c>
      <c r="L13" s="27">
        <f>IF(L6=0,"",L12/L6)</f>
        <v/>
      </c>
      <c r="O13" s="18" t="inlineStr">
        <is>
          <t>Bear SGA %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s="28" t="inlineStr">
        <is>
          <t>Depreciation &amp; Amortization</t>
        </is>
      </c>
      <c r="B14" s="29" t="n"/>
      <c r="C14" s="29" t="n"/>
      <c r="D14" s="29" t="n"/>
      <c r="E14" s="29" t="n"/>
      <c r="F14" s="29" t="n"/>
      <c r="G14" s="14" t="n"/>
      <c r="H14" s="30">
        <f>H6*CHOOSE($I$1,P$17,P$18,P$19)</f>
        <v/>
      </c>
      <c r="I14" s="30">
        <f>I6*CHOOSE($I$1,Q$17,Q$18,Q$19)</f>
        <v/>
      </c>
      <c r="J14" s="30">
        <f>J6*CHOOSE($I$1,R$17,R$18,R$19)</f>
        <v/>
      </c>
      <c r="K14" s="30">
        <f>K6*CHOOSE($I$1,S$17,S$18,S$19)</f>
        <v/>
      </c>
      <c r="L14" s="30">
        <f>L6*CHOOSE($I$1,T$17,T$18,T$19)</f>
        <v/>
      </c>
      <c r="O14" s="18" t="inlineStr">
        <is>
          <t>Base R&amp;D %</t>
        </is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s="31" t="inlineStr">
        <is>
          <t>EBITDA</t>
        </is>
      </c>
      <c r="B15" s="32" t="n"/>
      <c r="C15" s="32" t="n"/>
      <c r="D15" s="32" t="n"/>
      <c r="E15" s="32" t="n"/>
      <c r="F15" s="32" t="n"/>
      <c r="G15" s="14" t="n"/>
      <c r="H15" s="33">
        <f>H12+H14</f>
        <v/>
      </c>
      <c r="I15" s="33">
        <f>I12+I14</f>
        <v/>
      </c>
      <c r="J15" s="33">
        <f>J12+J14</f>
        <v/>
      </c>
      <c r="K15" s="33">
        <f>K12+K14</f>
        <v/>
      </c>
      <c r="L15" s="33">
        <f>L12+L14</f>
        <v/>
      </c>
      <c r="O15" s="18" t="inlineStr">
        <is>
          <t>Bull R&amp;D %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s="34" t="inlineStr">
        <is>
          <t xml:space="preserve">  EBITDA Margin %</t>
        </is>
      </c>
      <c r="B16" s="35">
        <f>IF(B6=0,"",B15/B6)</f>
        <v/>
      </c>
      <c r="C16" s="35">
        <f>IF(C6=0,"",C15/C6)</f>
        <v/>
      </c>
      <c r="D16" s="35">
        <f>IF(D6=0,"",D15/D6)</f>
        <v/>
      </c>
      <c r="E16" s="35">
        <f>IF(E6=0,"",E15/E6)</f>
        <v/>
      </c>
      <c r="F16" s="35">
        <f>IF(F6=0,"",F15/F6)</f>
        <v/>
      </c>
      <c r="G16" s="14" t="n"/>
      <c r="H16" s="36">
        <f>IF(H6=0,"",H15/H6)</f>
        <v/>
      </c>
      <c r="I16" s="36">
        <f>IF(I6=0,"",I15/I6)</f>
        <v/>
      </c>
      <c r="J16" s="36">
        <f>IF(J6=0,"",J15/J6)</f>
        <v/>
      </c>
      <c r="K16" s="36">
        <f>IF(K6=0,"",K15/K6)</f>
        <v/>
      </c>
      <c r="L16" s="36">
        <f>IF(L6=0,"",L15/L6)</f>
        <v/>
      </c>
      <c r="O16" s="18" t="inlineStr">
        <is>
          <t>Bear R&amp;D %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s="37" t="inlineStr">
        <is>
          <t>Taxes</t>
        </is>
      </c>
      <c r="B17" s="38" t="n"/>
      <c r="C17" s="38" t="n"/>
      <c r="D17" s="38" t="n"/>
      <c r="E17" s="38" t="n"/>
      <c r="F17" s="38" t="n"/>
      <c r="G17" s="14" t="n"/>
      <c r="H17" s="39">
        <f>H12*CHOOSE($I$1,P$26,P$27,P$28)</f>
        <v/>
      </c>
      <c r="I17" s="39">
        <f>I12*CHOOSE($I$1,Q$26,Q$27,Q$28)</f>
        <v/>
      </c>
      <c r="J17" s="39">
        <f>J12*CHOOSE($I$1,R$26,R$27,R$28)</f>
        <v/>
      </c>
      <c r="K17" s="39">
        <f>K12*CHOOSE($I$1,S$26,S$27,S$28)</f>
        <v/>
      </c>
      <c r="L17" s="39">
        <f>L12*CHOOSE($I$1,T$26,T$27,T$28)</f>
        <v/>
      </c>
      <c r="O17" s="18" t="inlineStr">
        <is>
          <t>Base DA %</t>
        </is>
      </c>
      <c r="P17" t="n">
        <v>0.009000000000000001</v>
      </c>
      <c r="Q17" t="n">
        <v>0.009000000000000001</v>
      </c>
      <c r="R17" t="n">
        <v>0.009000000000000001</v>
      </c>
      <c r="S17" t="n">
        <v>0.009000000000000001</v>
      </c>
      <c r="T17" t="n">
        <v>0.009000000000000001</v>
      </c>
    </row>
    <row r="18">
      <c r="A18" s="22" t="inlineStr">
        <is>
          <t>Net Income</t>
        </is>
      </c>
      <c r="B18" s="23" t="n"/>
      <c r="C18" s="23" t="n"/>
      <c r="D18" s="23" t="n"/>
      <c r="E18" s="23" t="n"/>
      <c r="F18" s="23" t="n"/>
      <c r="G18" s="14" t="n"/>
      <c r="H18" s="24">
        <f>H12-H17</f>
        <v/>
      </c>
      <c r="I18" s="24">
        <f>I12-I17</f>
        <v/>
      </c>
      <c r="J18" s="24">
        <f>J12-J17</f>
        <v/>
      </c>
      <c r="K18" s="24">
        <f>K12-K17</f>
        <v/>
      </c>
      <c r="L18" s="24">
        <f>L12-L17</f>
        <v/>
      </c>
      <c r="O18" s="18" t="inlineStr">
        <is>
          <t>Bull DA %</t>
        </is>
      </c>
      <c r="P18" t="n">
        <v>0.009000000000000001</v>
      </c>
      <c r="Q18" t="n">
        <v>0.009000000000000001</v>
      </c>
      <c r="R18" t="n">
        <v>0.009000000000000001</v>
      </c>
      <c r="S18" t="n">
        <v>0.009000000000000001</v>
      </c>
      <c r="T18" t="n">
        <v>0.009000000000000001</v>
      </c>
    </row>
    <row r="19">
      <c r="A19" s="25" t="inlineStr">
        <is>
          <t xml:space="preserve">  YoY Growth %</t>
        </is>
      </c>
      <c r="B19" s="26" t="n"/>
      <c r="C19" s="26">
        <f>IF(B18=0,"",C18/B18-1)</f>
        <v/>
      </c>
      <c r="D19" s="26">
        <f>IF(C18=0,"",D18/C18-1)</f>
        <v/>
      </c>
      <c r="E19" s="26">
        <f>IF(D18=0,"",E18/D18-1)</f>
        <v/>
      </c>
      <c r="F19" s="26">
        <f>IF(E18=0,"",F18/E18-1)</f>
        <v/>
      </c>
      <c r="G19" s="14" t="n"/>
      <c r="H19" s="26">
        <f>IF(F18=0,"",H18/F18-1)</f>
        <v/>
      </c>
      <c r="I19" s="26">
        <f>IF(H18=0,"",I18/H18-1)</f>
        <v/>
      </c>
      <c r="J19" s="26">
        <f>IF(I18=0,"",J18/I18-1)</f>
        <v/>
      </c>
      <c r="K19" s="26">
        <f>IF(J18=0,"",K18/J18-1)</f>
        <v/>
      </c>
      <c r="L19" s="26">
        <f>IF(K18=0,"",L18/K18-1)</f>
        <v/>
      </c>
      <c r="O19" s="18" t="inlineStr">
        <is>
          <t>Bear DA %</t>
        </is>
      </c>
      <c r="P19" t="n">
        <v>0.01</v>
      </c>
      <c r="Q19" t="n">
        <v>0.01</v>
      </c>
      <c r="R19" t="n">
        <v>0.01</v>
      </c>
      <c r="S19" t="n">
        <v>0.01</v>
      </c>
      <c r="T19" t="n">
        <v>0.01</v>
      </c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O20" s="18" t="inlineStr">
        <is>
          <t>Base CapEx %</t>
        </is>
      </c>
      <c r="P20" t="n">
        <v>0.02</v>
      </c>
      <c r="Q20" t="n">
        <v>0.02</v>
      </c>
      <c r="R20" t="n">
        <v>0.02</v>
      </c>
      <c r="S20" t="n">
        <v>0.02</v>
      </c>
      <c r="T20" t="n">
        <v>0.02</v>
      </c>
    </row>
    <row r="21">
      <c r="A21" s="21" t="inlineStr">
        <is>
          <t>FREE CASH FLOW BRIDGE ($mm)</t>
        </is>
      </c>
      <c r="O21" s="18" t="inlineStr">
        <is>
          <t>Bull CapEx %</t>
        </is>
      </c>
      <c r="P21" t="n">
        <v>0.02</v>
      </c>
      <c r="Q21" t="n">
        <v>0.02</v>
      </c>
      <c r="R21" t="n">
        <v>0.02</v>
      </c>
      <c r="S21" t="n">
        <v>0.02</v>
      </c>
      <c r="T21" t="n">
        <v>0.02</v>
      </c>
    </row>
    <row r="22">
      <c r="A22" s="28" t="inlineStr">
        <is>
          <t>NOPAT</t>
        </is>
      </c>
      <c r="B22" s="29" t="n"/>
      <c r="C22" s="29" t="n"/>
      <c r="D22" s="29" t="n"/>
      <c r="E22" s="29" t="n"/>
      <c r="F22" s="29" t="n"/>
      <c r="G22" s="14" t="n"/>
      <c r="H22" s="30">
        <f>H12*(1-CHOOSE($I$1,P$26,P$27,P$28))</f>
        <v/>
      </c>
      <c r="I22" s="30">
        <f>I12*(1-CHOOSE($I$1,Q$26,Q$27,Q$28))</f>
        <v/>
      </c>
      <c r="J22" s="30">
        <f>J12*(1-CHOOSE($I$1,R$26,R$27,R$28))</f>
        <v/>
      </c>
      <c r="K22" s="30">
        <f>K12*(1-CHOOSE($I$1,S$26,S$27,S$28))</f>
        <v/>
      </c>
      <c r="L22" s="30">
        <f>L12*(1-CHOOSE($I$1,T$26,T$27,T$28))</f>
        <v/>
      </c>
      <c r="O22" s="18" t="inlineStr">
        <is>
          <t>Bear CapEx %</t>
        </is>
      </c>
      <c r="P22" t="n">
        <v>0.018</v>
      </c>
      <c r="Q22" t="n">
        <v>0.018</v>
      </c>
      <c r="R22" t="n">
        <v>0.018</v>
      </c>
      <c r="S22" t="n">
        <v>0.018</v>
      </c>
      <c r="T22" t="n">
        <v>0.018</v>
      </c>
    </row>
    <row r="23">
      <c r="A23" s="37" t="inlineStr">
        <is>
          <t>(+) D&amp;A</t>
        </is>
      </c>
      <c r="B23" s="38" t="n"/>
      <c r="C23" s="38" t="n"/>
      <c r="D23" s="38" t="n"/>
      <c r="E23" s="38" t="n"/>
      <c r="F23" s="38" t="n"/>
      <c r="G23" s="14" t="n"/>
      <c r="H23" s="39">
        <f>H14</f>
        <v/>
      </c>
      <c r="I23" s="39">
        <f>I14</f>
        <v/>
      </c>
      <c r="J23" s="39">
        <f>J14</f>
        <v/>
      </c>
      <c r="K23" s="39">
        <f>K14</f>
        <v/>
      </c>
      <c r="L23" s="39">
        <f>L14</f>
        <v/>
      </c>
      <c r="O23" s="18" t="inlineStr">
        <is>
          <t>Base NWC %</t>
        </is>
      </c>
      <c r="P23" t="n">
        <v>0.15</v>
      </c>
      <c r="Q23" t="n">
        <v>0.15</v>
      </c>
      <c r="R23" t="n">
        <v>0.15</v>
      </c>
      <c r="S23" t="n">
        <v>0.15</v>
      </c>
      <c r="T23" t="n">
        <v>0.15</v>
      </c>
    </row>
    <row r="24">
      <c r="A24" s="28" t="inlineStr">
        <is>
          <t>(-) CapEx</t>
        </is>
      </c>
      <c r="B24" s="29" t="n"/>
      <c r="C24" s="29" t="n"/>
      <c r="D24" s="29" t="n"/>
      <c r="E24" s="29" t="n"/>
      <c r="F24" s="29" t="n"/>
      <c r="G24" s="14" t="n"/>
      <c r="H24" s="30">
        <f>H6*CHOOSE($I$1,P$20,P$21,P$22)</f>
        <v/>
      </c>
      <c r="I24" s="30">
        <f>I6*CHOOSE($I$1,Q$20,Q$21,Q$22)</f>
        <v/>
      </c>
      <c r="J24" s="30">
        <f>J6*CHOOSE($I$1,R$20,R$21,R$22)</f>
        <v/>
      </c>
      <c r="K24" s="30">
        <f>K6*CHOOSE($I$1,S$20,S$21,S$22)</f>
        <v/>
      </c>
      <c r="L24" s="30">
        <f>L6*CHOOSE($I$1,T$20,T$21,T$22)</f>
        <v/>
      </c>
      <c r="O24" s="18" t="inlineStr">
        <is>
          <t>Bull NWC %</t>
        </is>
      </c>
      <c r="P24" t="n">
        <v>0.15</v>
      </c>
      <c r="Q24" t="n">
        <v>0.15</v>
      </c>
      <c r="R24" t="n">
        <v>0.15</v>
      </c>
      <c r="S24" t="n">
        <v>0.15</v>
      </c>
      <c r="T24" t="n">
        <v>0.15</v>
      </c>
    </row>
    <row r="25">
      <c r="A25" s="37" t="inlineStr">
        <is>
          <t>(-) Change in NWC</t>
        </is>
      </c>
      <c r="B25" s="38" t="n"/>
      <c r="C25" s="38" t="n"/>
      <c r="D25" s="38" t="n"/>
      <c r="E25" s="38" t="n"/>
      <c r="F25" s="38" t="n"/>
      <c r="G25" s="14" t="n"/>
      <c r="H25" s="39">
        <f>(H6-F6)*CHOOSE($I$1,P$23,P$24,P$25)</f>
        <v/>
      </c>
      <c r="I25" s="39">
        <f>(I6-H6)*CHOOSE($I$1,Q$23,Q$24,Q$25)</f>
        <v/>
      </c>
      <c r="J25" s="39">
        <f>(J6-I6)*CHOOSE($I$1,R$23,R$24,R$25)</f>
        <v/>
      </c>
      <c r="K25" s="39">
        <f>(K6-J6)*CHOOSE($I$1,S$23,S$24,S$25)</f>
        <v/>
      </c>
      <c r="L25" s="39">
        <f>(L6-K6)*CHOOSE($I$1,T$23,T$24,T$25)</f>
        <v/>
      </c>
      <c r="O25" s="18" t="inlineStr">
        <is>
          <t>Bear NWC %</t>
        </is>
      </c>
      <c r="P25" t="n">
        <v>0.15</v>
      </c>
      <c r="Q25" t="n">
        <v>0.15</v>
      </c>
      <c r="R25" t="n">
        <v>0.15</v>
      </c>
      <c r="S25" t="n">
        <v>0.15</v>
      </c>
      <c r="T25" t="n">
        <v>0.15</v>
      </c>
    </row>
    <row r="26">
      <c r="A26" s="40" t="inlineStr">
        <is>
          <t>Unlevered Free Cash Flow</t>
        </is>
      </c>
      <c r="B26" s="41" t="n"/>
      <c r="C26" s="41" t="n"/>
      <c r="D26" s="41" t="n"/>
      <c r="E26" s="41" t="n"/>
      <c r="F26" s="41" t="n"/>
      <c r="G26" s="14" t="n"/>
      <c r="H26" s="42">
        <f>H22+H23-H24-H25</f>
        <v/>
      </c>
      <c r="I26" s="42">
        <f>I22+I23-I24-I25</f>
        <v/>
      </c>
      <c r="J26" s="42">
        <f>J22+J23-J24-J25</f>
        <v/>
      </c>
      <c r="K26" s="42">
        <f>K22+K23-K24-K25</f>
        <v/>
      </c>
      <c r="L26" s="42">
        <f>L22+L23-L24-L25</f>
        <v/>
      </c>
      <c r="O26" s="18" t="inlineStr">
        <is>
          <t>Base Tax %</t>
        </is>
      </c>
      <c r="P26" t="n">
        <v>0.17</v>
      </c>
      <c r="Q26" t="n">
        <v>0.17</v>
      </c>
      <c r="R26" t="n">
        <v>0.17</v>
      </c>
      <c r="S26" t="n">
        <v>0.17</v>
      </c>
      <c r="T26" t="n">
        <v>0.17</v>
      </c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O27" s="18" t="inlineStr">
        <is>
          <t>Bull Tax %</t>
        </is>
      </c>
      <c r="P27" t="n">
        <v>0.17</v>
      </c>
      <c r="Q27" t="n">
        <v>0.17</v>
      </c>
      <c r="R27" t="n">
        <v>0.17</v>
      </c>
      <c r="S27" t="n">
        <v>0.17</v>
      </c>
      <c r="T27" t="n">
        <v>0.17</v>
      </c>
    </row>
    <row r="28">
      <c r="A28" s="21" t="inlineStr">
        <is>
          <t>WACC CALCULATION</t>
        </is>
      </c>
      <c r="O28" s="18" t="inlineStr">
        <is>
          <t>Bear Tax %</t>
        </is>
      </c>
      <c r="P28" t="n">
        <v>0.17</v>
      </c>
      <c r="Q28" t="n">
        <v>0.17</v>
      </c>
      <c r="R28" t="n">
        <v>0.17</v>
      </c>
      <c r="S28" t="n">
        <v>0.17</v>
      </c>
      <c r="T28" t="n">
        <v>0.17</v>
      </c>
    </row>
    <row r="29">
      <c r="A29" s="37" t="inlineStr">
        <is>
          <t>Risk-Free Rate</t>
        </is>
      </c>
      <c r="B29" s="43" t="n">
        <v>0.04296000000000001</v>
      </c>
      <c r="O29" s="18" t="inlineStr">
        <is>
          <t>Base TGR %</t>
        </is>
      </c>
      <c r="P29" t="n">
        <v>0.02</v>
      </c>
      <c r="Q29" t="n">
        <v>0.02</v>
      </c>
      <c r="R29" t="n">
        <v>0.02</v>
      </c>
      <c r="S29" t="n">
        <v>0.02</v>
      </c>
      <c r="T29" t="n">
        <v>0.02</v>
      </c>
    </row>
    <row r="30">
      <c r="A30" s="28" t="inlineStr">
        <is>
          <t>Equity Risk Premium</t>
        </is>
      </c>
      <c r="B30" s="43" t="n">
        <v>0.055</v>
      </c>
      <c r="O30" s="18" t="inlineStr">
        <is>
          <t>Bull TGR %</t>
        </is>
      </c>
      <c r="P30" t="n">
        <v>0.025</v>
      </c>
      <c r="Q30" t="n">
        <v>0.025</v>
      </c>
      <c r="R30" t="n">
        <v>0.025</v>
      </c>
      <c r="S30" t="n">
        <v>0.025</v>
      </c>
      <c r="T30" t="n">
        <v>0.025</v>
      </c>
    </row>
    <row r="31">
      <c r="A31" s="37" t="inlineStr">
        <is>
          <t>Beta</t>
        </is>
      </c>
      <c r="B31" s="44" t="n">
        <v>1.75</v>
      </c>
      <c r="O31" s="18" t="inlineStr">
        <is>
          <t>Bear TGR %</t>
        </is>
      </c>
      <c r="P31" t="n">
        <v>0.01</v>
      </c>
      <c r="Q31" t="n">
        <v>0.01</v>
      </c>
      <c r="R31" t="n">
        <v>0.01</v>
      </c>
      <c r="S31" t="n">
        <v>0.01</v>
      </c>
      <c r="T31" t="n">
        <v>0.01</v>
      </c>
    </row>
    <row r="32">
      <c r="A32" s="28" t="inlineStr">
        <is>
          <t>Size Premium</t>
        </is>
      </c>
      <c r="B32" s="43" t="n">
        <v>0</v>
      </c>
      <c r="O32" s="18" t="inlineStr">
        <is>
          <t>Base Exit Mult</t>
        </is>
      </c>
      <c r="P32" t="n">
        <v>7</v>
      </c>
      <c r="Q32" t="n">
        <v>7</v>
      </c>
      <c r="R32" t="n">
        <v>7</v>
      </c>
      <c r="S32" t="n">
        <v>7</v>
      </c>
      <c r="T32" t="n">
        <v>7</v>
      </c>
    </row>
    <row r="33">
      <c r="A33" s="37" t="inlineStr">
        <is>
          <t>Specific Risk Premium</t>
        </is>
      </c>
      <c r="B33" s="43" t="n">
        <v>0.02</v>
      </c>
      <c r="O33" s="18" t="inlineStr">
        <is>
          <t>Bull Exit Mult</t>
        </is>
      </c>
      <c r="P33" t="n">
        <v>10.5</v>
      </c>
      <c r="Q33" t="n">
        <v>10.5</v>
      </c>
      <c r="R33" t="n">
        <v>10.5</v>
      </c>
      <c r="S33" t="n">
        <v>10.5</v>
      </c>
      <c r="T33" t="n">
        <v>10.5</v>
      </c>
    </row>
    <row r="34">
      <c r="A34" s="40" t="inlineStr">
        <is>
          <t>Cost of Equity (CAPM)</t>
        </is>
      </c>
      <c r="B34" s="45">
        <f>B29+B31*B30+B32+B33</f>
        <v/>
      </c>
      <c r="O34" s="18" t="inlineStr">
        <is>
          <t>Bear Exit Mult</t>
        </is>
      </c>
      <c r="P34" t="n">
        <v>5.5</v>
      </c>
      <c r="Q34" t="n">
        <v>5.5</v>
      </c>
      <c r="R34" t="n">
        <v>5.5</v>
      </c>
      <c r="S34" t="n">
        <v>5.5</v>
      </c>
      <c r="T34" t="n">
        <v>5.5</v>
      </c>
    </row>
    <row r="35">
      <c r="A35" s="37" t="inlineStr">
        <is>
          <t>Pre-Tax Cost of Debt</t>
        </is>
      </c>
      <c r="B35" s="43" t="n">
        <v>0.06</v>
      </c>
      <c r="O35" s="18" t="inlineStr">
        <is>
          <t>Base Prob</t>
        </is>
      </c>
      <c r="P35" t="n">
        <v>0.5</v>
      </c>
      <c r="Q35" t="n">
        <v>0.5</v>
      </c>
      <c r="R35" t="n">
        <v>0.5</v>
      </c>
      <c r="S35" t="n">
        <v>0.5</v>
      </c>
      <c r="T35" t="n">
        <v>0.5</v>
      </c>
    </row>
    <row r="36">
      <c r="A36" s="28" t="inlineStr">
        <is>
          <t>Tax Rate (for WACC)</t>
        </is>
      </c>
      <c r="B36" s="43" t="n">
        <v>0.17</v>
      </c>
      <c r="O36" s="18" t="inlineStr">
        <is>
          <t>Bull Prob</t>
        </is>
      </c>
      <c r="P36" t="n">
        <v>0.2</v>
      </c>
      <c r="Q36" t="n">
        <v>0.2</v>
      </c>
      <c r="R36" t="n">
        <v>0.2</v>
      </c>
      <c r="S36" t="n">
        <v>0.2</v>
      </c>
      <c r="T36" t="n">
        <v>0.2</v>
      </c>
    </row>
    <row r="37">
      <c r="A37" s="37" t="inlineStr">
        <is>
          <t>Debt / Capital</t>
        </is>
      </c>
      <c r="B37" s="43" t="n">
        <v>0.218</v>
      </c>
      <c r="O37" s="18" t="inlineStr">
        <is>
          <t>Bear Prob</t>
        </is>
      </c>
      <c r="P37" t="n">
        <v>0.3</v>
      </c>
      <c r="Q37" t="n">
        <v>0.3</v>
      </c>
      <c r="R37" t="n">
        <v>0.3</v>
      </c>
      <c r="S37" t="n">
        <v>0.3</v>
      </c>
      <c r="T37" t="n">
        <v>0.3</v>
      </c>
    </row>
    <row r="38">
      <c r="A38" s="40" t="inlineStr">
        <is>
          <t>WACC</t>
        </is>
      </c>
      <c r="B38" s="45">
        <f>B34*(1-B37)+B35*(1-B36)*B37</f>
        <v/>
      </c>
    </row>
    <row r="39" ht="40" customHeight="1">
      <c r="A39" s="46" t="inlineStr">
        <is>
          <t>Ke = 4.296% + 1.75*5.5% + 2.0% specific = 15.92%. Specific risk premium of 200bps added for (a) ongoing DoJ/BIS overhang post-Liaw indictment, (b) history of late SEC filings and 2024 auditor resignation (EY), (c) audit committee internal-controls remediation still incomplete. Kd pre-tax 6.0% reflects 1.875% convertible notes maturing 2029 plus implied spread on the $3.45bn 0% convert issued Dec-2024 (credit-implied yield ~6% on BB-equivalent risk profile; company is unrated). Tax 17% = mix of U.S. federal + Netherlands/Taiwan ops tax rate. Weights: market cap $17.5bn / total cap $22.3bn = 78.2% equity, 21.8% debt (Total Debt $4,758mm per LSEG). WACC = 0.782*15.92% + 0.218*6.0%*(1-0.17) = 12.45% + 1.09% = 13.54%.</t>
        </is>
      </c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</row>
    <row r="41">
      <c r="A41" s="21" t="inlineStr">
        <is>
          <t>DISCOUNTED CASH FLOW</t>
        </is>
      </c>
    </row>
    <row r="42">
      <c r="A42" s="28" t="inlineStr">
        <is>
          <t>Discount Factor</t>
        </is>
      </c>
      <c r="B42" s="47" t="n"/>
      <c r="C42" s="47" t="n"/>
      <c r="D42" s="47" t="n"/>
      <c r="E42" s="47" t="n"/>
      <c r="F42" s="47" t="n"/>
      <c r="G42" s="14" t="n"/>
      <c r="H42" s="48">
        <f>1/(1+B38)^1</f>
        <v/>
      </c>
      <c r="I42" s="48">
        <f>1/(1+B38)^2</f>
        <v/>
      </c>
      <c r="J42" s="48">
        <f>1/(1+B38)^3</f>
        <v/>
      </c>
      <c r="K42" s="48">
        <f>1/(1+B38)^4</f>
        <v/>
      </c>
      <c r="L42" s="48">
        <f>1/(1+B38)^5</f>
        <v/>
      </c>
    </row>
    <row r="43">
      <c r="A43" s="31" t="inlineStr">
        <is>
          <t>PV of FCF</t>
        </is>
      </c>
      <c r="B43" s="32" t="n"/>
      <c r="C43" s="32" t="n"/>
      <c r="D43" s="32" t="n"/>
      <c r="E43" s="32" t="n"/>
      <c r="F43" s="32" t="n"/>
      <c r="G43" s="14" t="n"/>
      <c r="H43" s="33">
        <f>H26*H42</f>
        <v/>
      </c>
      <c r="I43" s="33">
        <f>I26*I42</f>
        <v/>
      </c>
      <c r="J43" s="33">
        <f>J26*J42</f>
        <v/>
      </c>
      <c r="K43" s="33">
        <f>K26*K42</f>
        <v/>
      </c>
      <c r="L43" s="33">
        <f>L26*L42</f>
        <v/>
      </c>
    </row>
    <row r="44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</row>
    <row r="45">
      <c r="A45" s="21" t="inlineStr">
        <is>
          <t>TERMINAL VALUE &amp; EV BRIDGE</t>
        </is>
      </c>
    </row>
    <row r="46">
      <c r="A46" s="28" t="inlineStr">
        <is>
          <t>Sum of PV FCF ($mm)</t>
        </is>
      </c>
      <c r="B46" s="30">
        <f>H43+I43+J43+K43+L43</f>
        <v/>
      </c>
    </row>
    <row r="47">
      <c r="A47" s="37" t="inlineStr">
        <is>
          <t>Terminal Value — Exit Multiple ($mm)</t>
        </is>
      </c>
      <c r="B47" s="39">
        <f>L15*CHOOSE($I$1,$P$32,$P$33,$P$34)</f>
        <v/>
      </c>
    </row>
    <row r="48">
      <c r="A48" s="28" t="inlineStr">
        <is>
          <t>Terminal Value — Perpetuity ($mm)</t>
        </is>
      </c>
      <c r="B48" s="30">
        <f>L26*(1+CHOOSE($I$1,$P$29,$P$30,$P$31))/(B38-CHOOSE($I$1,$P$29,$P$30,$P$31))</f>
        <v/>
      </c>
    </row>
    <row r="49">
      <c r="A49" s="31" t="inlineStr">
        <is>
          <t>Terminal Value — Blended ($mm)</t>
        </is>
      </c>
      <c r="B49" s="33">
        <f>(B47+B48)/2</f>
        <v/>
      </c>
    </row>
    <row r="50">
      <c r="A50" s="28" t="inlineStr">
        <is>
          <t>PV of Terminal Value ($mm)</t>
        </is>
      </c>
      <c r="B50" s="30">
        <f>B49/(1+B38)^5</f>
        <v/>
      </c>
    </row>
    <row r="51">
      <c r="A51" s="40" t="inlineStr">
        <is>
          <t>Enterprise Value ($mm)</t>
        </is>
      </c>
      <c r="B51" s="42">
        <f>B46+B50</f>
        <v/>
      </c>
    </row>
    <row r="52">
      <c r="A52" s="28" t="inlineStr">
        <is>
          <t>(-) Net Debt ($mm)</t>
        </is>
      </c>
      <c r="B52" s="49" t="n">
        <v>-391</v>
      </c>
    </row>
    <row r="53">
      <c r="A53" s="40" t="inlineStr">
        <is>
          <t>Equity Value ($mm)</t>
        </is>
      </c>
      <c r="B53" s="42">
        <f>B51-B52</f>
        <v/>
      </c>
    </row>
    <row r="54">
      <c r="A54" s="28" t="inlineStr">
        <is>
          <t>Shares Outstanding (mm)</t>
        </is>
      </c>
      <c r="B54" s="50" t="n">
        <v>600.48</v>
      </c>
    </row>
    <row r="55">
      <c r="A55" s="40" t="inlineStr">
        <is>
          <t>Implied Price / Share</t>
        </is>
      </c>
      <c r="B55" s="51">
        <f>B53/B54</f>
        <v/>
      </c>
    </row>
    <row r="56">
      <c r="A56" s="28" t="inlineStr">
        <is>
          <t>Current Price</t>
        </is>
      </c>
      <c r="B56" s="52" t="n">
        <v>29.18</v>
      </c>
    </row>
    <row r="57">
      <c r="A57" s="40" t="inlineStr">
        <is>
          <t>Upside / Downside</t>
        </is>
      </c>
      <c r="B57" s="53">
        <f>B55/B56-1</f>
        <v/>
      </c>
    </row>
    <row r="58">
      <c r="A58" s="28" t="inlineStr">
        <is>
          <t>TV as % of EV</t>
        </is>
      </c>
      <c r="B58" s="54">
        <f>B50/B51</f>
        <v/>
      </c>
    </row>
    <row r="60">
      <c r="A60" s="21" t="inlineStr">
        <is>
          <t>SCENARIO COMPARISON</t>
        </is>
      </c>
    </row>
    <row r="61">
      <c r="A61" s="19" t="inlineStr"/>
      <c r="B61" s="19" t="inlineStr">
        <is>
          <t>Probability</t>
        </is>
      </c>
      <c r="C61" s="19" t="inlineStr">
        <is>
          <t>Implied Price</t>
        </is>
      </c>
      <c r="D61" s="19" t="inlineStr">
        <is>
          <t>Upside/Downside</t>
        </is>
      </c>
      <c r="E61" s="19" t="inlineStr">
        <is>
          <t>PV Explicit FCF</t>
        </is>
      </c>
      <c r="F61" s="19" t="inlineStr">
        <is>
          <t>PV Terminal Value</t>
        </is>
      </c>
      <c r="G61" s="19" t="inlineStr">
        <is>
          <t>Enterprise Value</t>
        </is>
      </c>
      <c r="H61" s="19" t="inlineStr">
        <is>
          <t>TV % of EV</t>
        </is>
      </c>
    </row>
    <row r="62">
      <c r="A62" s="40" t="inlineStr">
        <is>
          <t>Base Case</t>
        </is>
      </c>
      <c r="B62" s="54" t="n">
        <v>0.5</v>
      </c>
      <c r="C62" s="55" t="n">
        <v>7.4</v>
      </c>
      <c r="D62" s="56" t="n">
        <v>-0.746</v>
      </c>
      <c r="E62" s="30" t="n">
        <v>-75.09999999999999</v>
      </c>
      <c r="F62" s="30" t="n">
        <v>4130.3</v>
      </c>
      <c r="G62" s="30" t="n">
        <v>4055.3</v>
      </c>
      <c r="H62" s="54" t="n">
        <v>1.019</v>
      </c>
    </row>
    <row r="63">
      <c r="A63" s="57" t="inlineStr">
        <is>
          <t>Bull Case</t>
        </is>
      </c>
      <c r="B63" s="58" t="n">
        <v>0.2</v>
      </c>
      <c r="C63" s="59" t="n">
        <v>21.19</v>
      </c>
      <c r="D63" s="60" t="n">
        <v>-0.274</v>
      </c>
      <c r="E63" s="39" t="n">
        <v>935.4</v>
      </c>
      <c r="F63" s="39" t="n">
        <v>11396.7</v>
      </c>
      <c r="G63" s="39" t="n">
        <v>12332</v>
      </c>
      <c r="H63" s="58" t="n">
        <v>0.924</v>
      </c>
    </row>
    <row r="64">
      <c r="A64" s="61" t="inlineStr">
        <is>
          <t>Bear Case</t>
        </is>
      </c>
      <c r="B64" s="54" t="n">
        <v>0.3</v>
      </c>
      <c r="C64" s="55" t="n">
        <v>2.5</v>
      </c>
      <c r="D64" s="56" t="n">
        <v>-0.914</v>
      </c>
      <c r="E64" s="30" t="n">
        <v>-950.8</v>
      </c>
      <c r="F64" s="30" t="n">
        <v>2059.6</v>
      </c>
      <c r="G64" s="30" t="n">
        <v>1108.8</v>
      </c>
      <c r="H64" s="54" t="n">
        <v>1.857</v>
      </c>
    </row>
    <row r="65">
      <c r="A65" s="62" t="inlineStr">
        <is>
          <t>EXPECTED VALUE</t>
        </is>
      </c>
      <c r="B65" s="63" t="n"/>
      <c r="C65" s="64" t="n">
        <v>8.69</v>
      </c>
      <c r="D65" s="65" t="n">
        <v>-0.7020000000000001</v>
      </c>
      <c r="E65" s="63" t="n"/>
      <c r="F65" s="63" t="n"/>
      <c r="G65" s="63" t="n"/>
      <c r="H65" s="63" t="n"/>
    </row>
    <row r="67">
      <c r="A67" s="21" t="inlineStr">
        <is>
          <t>CASE ASSUMPTIONS — BASE CASE (50% probability)</t>
        </is>
      </c>
    </row>
    <row r="68">
      <c r="A68" s="19" t="inlineStr">
        <is>
          <t>Assumption</t>
        </is>
      </c>
      <c r="B68" s="19" t="inlineStr">
        <is>
          <t>Year 1</t>
        </is>
      </c>
      <c r="C68" s="19" t="inlineStr">
        <is>
          <t>Year 2</t>
        </is>
      </c>
      <c r="D68" s="19" t="inlineStr">
        <is>
          <t>Year 3</t>
        </is>
      </c>
      <c r="E68" s="19" t="inlineStr">
        <is>
          <t>Year 4</t>
        </is>
      </c>
      <c r="F68" s="19" t="inlineStr">
        <is>
          <t>Year 5</t>
        </is>
      </c>
    </row>
    <row r="69">
      <c r="A69" s="40" t="inlineStr">
        <is>
          <t>Revenue Growth</t>
        </is>
      </c>
      <c r="B69" s="66" t="n">
        <v>0.4</v>
      </c>
      <c r="C69" s="66" t="n">
        <v>0.08</v>
      </c>
      <c r="D69" s="66" t="n">
        <v>0.03</v>
      </c>
      <c r="E69" s="66" t="n">
        <v>0.025</v>
      </c>
      <c r="F69" s="66" t="n">
        <v>0.02</v>
      </c>
    </row>
    <row r="70">
      <c r="A70" s="40" t="inlineStr">
        <is>
          <t>Gross Margin</t>
        </is>
      </c>
      <c r="B70" s="67" t="n">
        <v>0.075</v>
      </c>
      <c r="C70" s="67" t="n">
        <v>0.075</v>
      </c>
      <c r="D70" s="67" t="n">
        <v>0.075</v>
      </c>
      <c r="E70" s="67" t="n">
        <v>0.075</v>
      </c>
      <c r="F70" s="67" t="n">
        <v>0.075</v>
      </c>
    </row>
    <row r="71">
      <c r="A71" s="40" t="inlineStr">
        <is>
          <t>EBIT Margin</t>
        </is>
      </c>
      <c r="B71" s="66" t="n">
        <v>0.035</v>
      </c>
      <c r="C71" s="66" t="n">
        <v>0.03</v>
      </c>
      <c r="D71" s="66" t="n">
        <v>0.028</v>
      </c>
      <c r="E71" s="66" t="n">
        <v>0.028</v>
      </c>
      <c r="F71" s="66" t="n">
        <v>0.028</v>
      </c>
    </row>
    <row r="72">
      <c r="A72" s="40" t="inlineStr">
        <is>
          <t>D&amp;A % of Revenue</t>
        </is>
      </c>
      <c r="B72" s="67" t="n">
        <v>0.009000000000000001</v>
      </c>
      <c r="C72" s="67" t="n">
        <v>0.009000000000000001</v>
      </c>
      <c r="D72" s="67" t="n">
        <v>0.009000000000000001</v>
      </c>
      <c r="E72" s="67" t="n">
        <v>0.009000000000000001</v>
      </c>
      <c r="F72" s="67" t="n">
        <v>0.009000000000000001</v>
      </c>
    </row>
    <row r="73">
      <c r="A73" s="40" t="inlineStr">
        <is>
          <t>CapEx % of Revenue</t>
        </is>
      </c>
      <c r="B73" s="66" t="n">
        <v>0.02</v>
      </c>
      <c r="C73" s="66" t="n">
        <v>0.02</v>
      </c>
      <c r="D73" s="66" t="n">
        <v>0.02</v>
      </c>
      <c r="E73" s="66" t="n">
        <v>0.02</v>
      </c>
      <c r="F73" s="66" t="n">
        <v>0.02</v>
      </c>
    </row>
    <row r="74">
      <c r="A74" s="40" t="inlineStr">
        <is>
          <t>NWC % of Rev Delta</t>
        </is>
      </c>
      <c r="B74" s="67" t="n">
        <v>0.15</v>
      </c>
      <c r="C74" s="67" t="n">
        <v>0.15</v>
      </c>
      <c r="D74" s="67" t="n">
        <v>0.15</v>
      </c>
      <c r="E74" s="67" t="n">
        <v>0.15</v>
      </c>
      <c r="F74" s="67" t="n">
        <v>0.15</v>
      </c>
    </row>
    <row r="75">
      <c r="A75" s="40" t="inlineStr">
        <is>
          <t>Tax Rate</t>
        </is>
      </c>
      <c r="B75" s="66" t="n">
        <v>0.17</v>
      </c>
      <c r="C75" s="66" t="n">
        <v>0.17</v>
      </c>
      <c r="D75" s="66" t="n">
        <v>0.17</v>
      </c>
      <c r="E75" s="66" t="n">
        <v>0.17</v>
      </c>
      <c r="F75" s="66" t="n">
        <v>0.17</v>
      </c>
    </row>
    <row r="76">
      <c r="A76" s="40" t="inlineStr">
        <is>
          <t>Terminal Growth Rate</t>
        </is>
      </c>
      <c r="B76" s="67" t="n">
        <v>0.02</v>
      </c>
    </row>
    <row r="77">
      <c r="A77" s="40" t="inlineStr">
        <is>
          <t>Exit Multiple (EV/EBITDA)</t>
        </is>
      </c>
      <c r="B77" s="68" t="n">
        <v>7</v>
      </c>
    </row>
    <row r="78">
      <c r="A78" s="14" t="n"/>
      <c r="B78" s="14" t="n"/>
      <c r="C78" s="14" t="n"/>
      <c r="D78" s="14" t="n"/>
      <c r="E78" s="14" t="n"/>
      <c r="F78" s="14" t="n"/>
    </row>
    <row r="79">
      <c r="A79" s="21" t="inlineStr">
        <is>
          <t>CASE ASSUMPTIONS — BULL CASE (20% probability)</t>
        </is>
      </c>
    </row>
    <row r="80">
      <c r="A80" s="19" t="inlineStr">
        <is>
          <t>Assumption</t>
        </is>
      </c>
      <c r="B80" s="19" t="inlineStr">
        <is>
          <t>Year 1</t>
        </is>
      </c>
      <c r="C80" s="19" t="inlineStr">
        <is>
          <t>Year 2</t>
        </is>
      </c>
      <c r="D80" s="19" t="inlineStr">
        <is>
          <t>Year 3</t>
        </is>
      </c>
      <c r="E80" s="19" t="inlineStr">
        <is>
          <t>Year 4</t>
        </is>
      </c>
      <c r="F80" s="19" t="inlineStr">
        <is>
          <t>Year 5</t>
        </is>
      </c>
    </row>
    <row r="81">
      <c r="A81" s="57" t="inlineStr">
        <is>
          <t>Revenue Growth</t>
        </is>
      </c>
      <c r="B81" s="66" t="n">
        <v>0.45</v>
      </c>
      <c r="C81" s="66" t="n">
        <v>0.15</v>
      </c>
      <c r="D81" s="66" t="n">
        <v>0.1</v>
      </c>
      <c r="E81" s="66" t="n">
        <v>0.06</v>
      </c>
      <c r="F81" s="66" t="n">
        <v>0.04</v>
      </c>
    </row>
    <row r="82">
      <c r="A82" s="57" t="inlineStr">
        <is>
          <t>Gross Margin</t>
        </is>
      </c>
      <c r="B82" s="67" t="n">
        <v>0.09</v>
      </c>
      <c r="C82" s="67" t="n">
        <v>0.09</v>
      </c>
      <c r="D82" s="67" t="n">
        <v>0.09</v>
      </c>
      <c r="E82" s="67" t="n">
        <v>0.09</v>
      </c>
      <c r="F82" s="67" t="n">
        <v>0.09</v>
      </c>
    </row>
    <row r="83">
      <c r="A83" s="57" t="inlineStr">
        <is>
          <t>EBIT Margin</t>
        </is>
      </c>
      <c r="B83" s="66" t="n">
        <v>0.04</v>
      </c>
      <c r="C83" s="66" t="n">
        <v>0.042</v>
      </c>
      <c r="D83" s="66" t="n">
        <v>0.045</v>
      </c>
      <c r="E83" s="66" t="n">
        <v>0.045</v>
      </c>
      <c r="F83" s="66" t="n">
        <v>0.045</v>
      </c>
    </row>
    <row r="84">
      <c r="A84" s="57" t="inlineStr">
        <is>
          <t>D&amp;A % of Revenue</t>
        </is>
      </c>
      <c r="B84" s="67" t="n">
        <v>0.009000000000000001</v>
      </c>
      <c r="C84" s="67" t="n">
        <v>0.009000000000000001</v>
      </c>
      <c r="D84" s="67" t="n">
        <v>0.009000000000000001</v>
      </c>
      <c r="E84" s="67" t="n">
        <v>0.009000000000000001</v>
      </c>
      <c r="F84" s="67" t="n">
        <v>0.009000000000000001</v>
      </c>
    </row>
    <row r="85">
      <c r="A85" s="57" t="inlineStr">
        <is>
          <t>CapEx % of Revenue</t>
        </is>
      </c>
      <c r="B85" s="66" t="n">
        <v>0.02</v>
      </c>
      <c r="C85" s="66" t="n">
        <v>0.02</v>
      </c>
      <c r="D85" s="66" t="n">
        <v>0.02</v>
      </c>
      <c r="E85" s="66" t="n">
        <v>0.02</v>
      </c>
      <c r="F85" s="66" t="n">
        <v>0.02</v>
      </c>
    </row>
    <row r="86">
      <c r="A86" s="57" t="inlineStr">
        <is>
          <t>NWC % of Rev Delta</t>
        </is>
      </c>
      <c r="B86" s="67" t="n">
        <v>0.15</v>
      </c>
      <c r="C86" s="67" t="n">
        <v>0.15</v>
      </c>
      <c r="D86" s="67" t="n">
        <v>0.15</v>
      </c>
      <c r="E86" s="67" t="n">
        <v>0.15</v>
      </c>
      <c r="F86" s="67" t="n">
        <v>0.15</v>
      </c>
    </row>
    <row r="87">
      <c r="A87" s="57" t="inlineStr">
        <is>
          <t>Tax Rate</t>
        </is>
      </c>
      <c r="B87" s="66" t="n">
        <v>0.17</v>
      </c>
      <c r="C87" s="66" t="n">
        <v>0.17</v>
      </c>
      <c r="D87" s="66" t="n">
        <v>0.17</v>
      </c>
      <c r="E87" s="66" t="n">
        <v>0.17</v>
      </c>
      <c r="F87" s="66" t="n">
        <v>0.17</v>
      </c>
    </row>
    <row r="88">
      <c r="A88" s="57" t="inlineStr">
        <is>
          <t>Terminal Growth Rate</t>
        </is>
      </c>
      <c r="B88" s="67" t="n">
        <v>0.025</v>
      </c>
    </row>
    <row r="89">
      <c r="A89" s="57" t="inlineStr">
        <is>
          <t>Exit Multiple (EV/EBITDA)</t>
        </is>
      </c>
      <c r="B89" s="68" t="n">
        <v>10.5</v>
      </c>
    </row>
    <row r="90">
      <c r="A90" s="14" t="n"/>
      <c r="B90" s="14" t="n"/>
      <c r="C90" s="14" t="n"/>
      <c r="D90" s="14" t="n"/>
      <c r="E90" s="14" t="n"/>
      <c r="F90" s="14" t="n"/>
    </row>
    <row r="91">
      <c r="A91" s="21" t="inlineStr">
        <is>
          <t>CASE ASSUMPTIONS — BEAR CASE (30% probability)</t>
        </is>
      </c>
    </row>
    <row r="92">
      <c r="A92" s="19" t="inlineStr">
        <is>
          <t>Assumption</t>
        </is>
      </c>
      <c r="B92" s="19" t="inlineStr">
        <is>
          <t>Year 1</t>
        </is>
      </c>
      <c r="C92" s="19" t="inlineStr">
        <is>
          <t>Year 2</t>
        </is>
      </c>
      <c r="D92" s="19" t="inlineStr">
        <is>
          <t>Year 3</t>
        </is>
      </c>
      <c r="E92" s="19" t="inlineStr">
        <is>
          <t>Year 4</t>
        </is>
      </c>
      <c r="F92" s="19" t="inlineStr">
        <is>
          <t>Year 5</t>
        </is>
      </c>
    </row>
    <row r="93">
      <c r="A93" s="61" t="inlineStr">
        <is>
          <t>Revenue Growth</t>
        </is>
      </c>
      <c r="B93" s="66" t="n">
        <v>0.3</v>
      </c>
      <c r="C93" s="66" t="n">
        <v>-0.05</v>
      </c>
      <c r="D93" s="66" t="n">
        <v>-0.02</v>
      </c>
      <c r="E93" s="66" t="n">
        <v>0.02</v>
      </c>
      <c r="F93" s="66" t="n">
        <v>0.02</v>
      </c>
    </row>
    <row r="94">
      <c r="A94" s="61" t="inlineStr">
        <is>
          <t>Gross Margin</t>
        </is>
      </c>
      <c r="B94" s="67" t="n">
        <v>0.06</v>
      </c>
      <c r="C94" s="67" t="n">
        <v>0.06</v>
      </c>
      <c r="D94" s="67" t="n">
        <v>0.06</v>
      </c>
      <c r="E94" s="67" t="n">
        <v>0.06</v>
      </c>
      <c r="F94" s="67" t="n">
        <v>0.06</v>
      </c>
    </row>
    <row r="95">
      <c r="A95" s="61" t="inlineStr">
        <is>
          <t>EBIT Margin</t>
        </is>
      </c>
      <c r="B95" s="66" t="n">
        <v>0.015</v>
      </c>
      <c r="C95" s="66" t="n">
        <v>0.008</v>
      </c>
      <c r="D95" s="66" t="n">
        <v>0.005</v>
      </c>
      <c r="E95" s="66" t="n">
        <v>0.008</v>
      </c>
      <c r="F95" s="66" t="n">
        <v>0.01</v>
      </c>
    </row>
    <row r="96">
      <c r="A96" s="61" t="inlineStr">
        <is>
          <t>D&amp;A % of Revenue</t>
        </is>
      </c>
      <c r="B96" s="67" t="n">
        <v>0.01</v>
      </c>
      <c r="C96" s="67" t="n">
        <v>0.01</v>
      </c>
      <c r="D96" s="67" t="n">
        <v>0.01</v>
      </c>
      <c r="E96" s="67" t="n">
        <v>0.01</v>
      </c>
      <c r="F96" s="67" t="n">
        <v>0.01</v>
      </c>
    </row>
    <row r="97">
      <c r="A97" s="61" t="inlineStr">
        <is>
          <t>CapEx % of Revenue</t>
        </is>
      </c>
      <c r="B97" s="66" t="n">
        <v>0.018</v>
      </c>
      <c r="C97" s="66" t="n">
        <v>0.018</v>
      </c>
      <c r="D97" s="66" t="n">
        <v>0.018</v>
      </c>
      <c r="E97" s="66" t="n">
        <v>0.018</v>
      </c>
      <c r="F97" s="66" t="n">
        <v>0.018</v>
      </c>
    </row>
    <row r="98">
      <c r="A98" s="61" t="inlineStr">
        <is>
          <t>NWC % of Rev Delta</t>
        </is>
      </c>
      <c r="B98" s="67" t="n">
        <v>0.15</v>
      </c>
      <c r="C98" s="67" t="n">
        <v>0.15</v>
      </c>
      <c r="D98" s="67" t="n">
        <v>0.15</v>
      </c>
      <c r="E98" s="67" t="n">
        <v>0.15</v>
      </c>
      <c r="F98" s="67" t="n">
        <v>0.15</v>
      </c>
    </row>
    <row r="99">
      <c r="A99" s="61" t="inlineStr">
        <is>
          <t>Tax Rate</t>
        </is>
      </c>
      <c r="B99" s="66" t="n">
        <v>0.17</v>
      </c>
      <c r="C99" s="66" t="n">
        <v>0.17</v>
      </c>
      <c r="D99" s="66" t="n">
        <v>0.17</v>
      </c>
      <c r="E99" s="66" t="n">
        <v>0.17</v>
      </c>
      <c r="F99" s="66" t="n">
        <v>0.17</v>
      </c>
    </row>
    <row r="100">
      <c r="A100" s="61" t="inlineStr">
        <is>
          <t>Terminal Growth Rate</t>
        </is>
      </c>
      <c r="B100" s="67" t="n">
        <v>0.01</v>
      </c>
    </row>
    <row r="101">
      <c r="A101" s="61" t="inlineStr">
        <is>
          <t>Exit Multiple (EV/EBITDA)</t>
        </is>
      </c>
      <c r="B101" s="68" t="n">
        <v>5.5</v>
      </c>
    </row>
    <row r="102">
      <c r="A102" s="14" t="n"/>
      <c r="B102" s="14" t="n"/>
      <c r="C102" s="14" t="n"/>
      <c r="D102" s="14" t="n"/>
      <c r="E102" s="14" t="n"/>
      <c r="F102" s="14" t="n"/>
    </row>
    <row r="104">
      <c r="A104" s="21" t="inlineStr">
        <is>
          <t>SENSITIVITY — Implied Price by WACC x Exit Multiple</t>
        </is>
      </c>
    </row>
    <row r="105">
      <c r="A105" s="19" t="inlineStr">
        <is>
          <t>WACC \ Exit</t>
        </is>
      </c>
      <c r="B105" s="19" t="inlineStr">
        <is>
          <t>11.0x</t>
        </is>
      </c>
      <c r="C105" s="19" t="inlineStr">
        <is>
          <t>3.0x</t>
        </is>
      </c>
      <c r="D105" s="19" t="inlineStr">
        <is>
          <t>5.0x</t>
        </is>
      </c>
      <c r="E105" s="19" t="inlineStr">
        <is>
          <t>7.0x</t>
        </is>
      </c>
      <c r="F105" s="19" t="inlineStr">
        <is>
          <t>9.0x</t>
        </is>
      </c>
    </row>
    <row r="106">
      <c r="A106" s="22" t="inlineStr">
        <is>
          <t>12.5%</t>
        </is>
      </c>
      <c r="B106" s="55" t="n">
        <v>11.06</v>
      </c>
      <c r="C106" s="55" t="n">
        <v>4.81</v>
      </c>
      <c r="D106" s="55" t="n">
        <v>6.37</v>
      </c>
      <c r="E106" s="55" t="n">
        <v>7.93</v>
      </c>
      <c r="F106" s="55" t="n">
        <v>9.49</v>
      </c>
    </row>
    <row r="107">
      <c r="A107" s="31" t="inlineStr">
        <is>
          <t>13.0%</t>
        </is>
      </c>
      <c r="B107" s="59" t="n">
        <v>10.73</v>
      </c>
      <c r="C107" s="59" t="n">
        <v>4.61</v>
      </c>
      <c r="D107" s="59" t="n">
        <v>6.14</v>
      </c>
      <c r="E107" s="59" t="n">
        <v>7.67</v>
      </c>
      <c r="F107" s="59" t="n">
        <v>9.199999999999999</v>
      </c>
    </row>
    <row r="108">
      <c r="A108" s="22" t="inlineStr">
        <is>
          <t>13.5%</t>
        </is>
      </c>
      <c r="B108" s="55" t="n">
        <v>10.41</v>
      </c>
      <c r="C108" s="55" t="n">
        <v>4.43</v>
      </c>
      <c r="D108" s="55" t="n">
        <v>5.93</v>
      </c>
      <c r="E108" s="55" t="n">
        <v>7.42</v>
      </c>
      <c r="F108" s="55" t="n">
        <v>8.92</v>
      </c>
    </row>
    <row r="109">
      <c r="A109" s="31" t="inlineStr">
        <is>
          <t>14.0%</t>
        </is>
      </c>
      <c r="B109" s="59" t="n">
        <v>10.11</v>
      </c>
      <c r="C109" s="59" t="n">
        <v>4.27</v>
      </c>
      <c r="D109" s="59" t="n">
        <v>5.73</v>
      </c>
      <c r="E109" s="59" t="n">
        <v>7.19</v>
      </c>
      <c r="F109" s="59" t="n">
        <v>8.65</v>
      </c>
    </row>
    <row r="110">
      <c r="A110" s="22" t="inlineStr">
        <is>
          <t>14.5%</t>
        </is>
      </c>
      <c r="B110" s="55" t="n">
        <v>9.83</v>
      </c>
      <c r="C110" s="55" t="n">
        <v>4.11</v>
      </c>
      <c r="D110" s="55" t="n">
        <v>5.54</v>
      </c>
      <c r="E110" s="55" t="n">
        <v>6.97</v>
      </c>
      <c r="F110" s="55" t="n">
        <v>8.4</v>
      </c>
    </row>
  </sheetData>
  <mergeCells count="15">
    <mergeCell ref="B4:F4"/>
    <mergeCell ref="A45:D45"/>
    <mergeCell ref="J1:L1"/>
    <mergeCell ref="A21:L21"/>
    <mergeCell ref="A28:D28"/>
    <mergeCell ref="A41:L41"/>
    <mergeCell ref="A5:L5"/>
    <mergeCell ref="A104:H104"/>
    <mergeCell ref="A39:D39"/>
    <mergeCell ref="A67:F67"/>
    <mergeCell ref="A60:H60"/>
    <mergeCell ref="A79:F79"/>
    <mergeCell ref="A1:E1"/>
    <mergeCell ref="A91:F91"/>
    <mergeCell ref="H4:L4"/>
  </mergeCells>
  <dataValidations count="1">
    <dataValidation sqref="I1" showDropDown="0" showInputMessage="0" showErrorMessage="0" allowBlank="0" errorTitle="Invalid Case" error="Enter 1 (Base), 2 (Bull), or 3 (Bear)" promptTitle="Case Selector" prompt="Select scenario: 1=Base, 2=Bull, 3=Bear" type="list">
      <formula1>"1,2,3"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4A9FD4"/>
    <outlinePr summaryBelow="1" summaryRight="1"/>
    <pageSetUpPr/>
  </sheetPr>
  <dimension ref="A1:N6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8" customWidth="1" min="10" max="10"/>
    <col width="14" customWidth="1" min="11" max="11"/>
    <col width="14" customWidth="1" min="12" max="12"/>
    <col width="14" customWidth="1" min="13" max="13"/>
    <col width="18" customWidth="1" min="14" max="14"/>
  </cols>
  <sheetData>
    <row r="1" ht="24" customHeight="1">
      <c r="A1" s="69" t="inlineStr">
        <is>
          <t>SMCI — COMPARABLE COMPANIES ANALYSIS</t>
        </is>
      </c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6" t="inlineStr">
        <is>
          <t>PEER TRADING MULTIPLES (NTM)</t>
        </is>
      </c>
      <c r="K3" s="2" t="n"/>
      <c r="L3" s="2" t="n"/>
      <c r="M3" s="2" t="n"/>
      <c r="N3" s="2" t="n"/>
    </row>
    <row r="4">
      <c r="A4" s="7" t="inlineStr">
        <is>
          <t>Company</t>
        </is>
      </c>
      <c r="B4" s="7" t="inlineStr">
        <is>
          <t>Ticker</t>
        </is>
      </c>
      <c r="C4" s="7" t="inlineStr">
        <is>
          <t>NTM EV/EBITDA</t>
        </is>
      </c>
      <c r="D4" s="7" t="inlineStr">
        <is>
          <t>NTM EV/EBIT</t>
        </is>
      </c>
      <c r="E4" s="7" t="inlineStr">
        <is>
          <t>NTM P/E</t>
        </is>
      </c>
      <c r="F4" s="7" t="inlineStr">
        <is>
          <t>NTM EV/Rev</t>
        </is>
      </c>
      <c r="G4" s="7" t="inlineStr">
        <is>
          <t>NTM FCF Yield%</t>
        </is>
      </c>
      <c r="H4" s="7" t="inlineStr">
        <is>
          <t>Growth NTM%</t>
        </is>
      </c>
      <c r="I4" s="7" t="inlineStr">
        <is>
          <t>EBITDA Margin%</t>
        </is>
      </c>
      <c r="J4" s="7" t="inlineStr">
        <is>
          <t>ROIC%</t>
        </is>
      </c>
      <c r="K4" s="7" t="inlineStr">
        <is>
          <t>Data Source</t>
        </is>
      </c>
      <c r="L4" s="2" t="n"/>
      <c r="M4" s="2" t="n"/>
      <c r="N4" s="2" t="n"/>
    </row>
    <row r="5">
      <c r="A5" s="10" t="inlineStr">
        <is>
          <t>Dell Technologies Inc.</t>
        </is>
      </c>
      <c r="B5" s="11" t="inlineStr">
        <is>
          <t>DELL</t>
        </is>
      </c>
      <c r="C5" s="11" t="n">
        <v>13.8</v>
      </c>
      <c r="D5" s="11" t="n">
        <v>0</v>
      </c>
      <c r="E5" s="11" t="n">
        <v>24.7</v>
      </c>
      <c r="F5" s="11" t="n">
        <v>1.39</v>
      </c>
      <c r="G5" s="11" t="n">
        <v>0</v>
      </c>
      <c r="H5" s="11" t="n">
        <v>39.5</v>
      </c>
      <c r="I5" s="11" t="n">
        <v>10.1</v>
      </c>
      <c r="J5" s="11" t="n">
        <v>0</v>
      </c>
      <c r="K5" s="11" t="inlineStr">
        <is>
          <t>yfinance</t>
        </is>
      </c>
      <c r="L5" s="2" t="n"/>
      <c r="M5" s="2" t="n"/>
      <c r="N5" s="2" t="n"/>
    </row>
    <row r="6">
      <c r="A6" s="8" t="inlineStr">
        <is>
          <t>Hewlett Packard Enterprise C</t>
        </is>
      </c>
      <c r="B6" s="9" t="inlineStr">
        <is>
          <t>HPE</t>
        </is>
      </c>
      <c r="C6" s="9" t="n">
        <v>11.3</v>
      </c>
      <c r="D6" s="9" t="n">
        <v>0</v>
      </c>
      <c r="E6" s="9" t="n">
        <v>0</v>
      </c>
      <c r="F6" s="9" t="n">
        <v>1.54</v>
      </c>
      <c r="G6" s="9" t="n">
        <v>0</v>
      </c>
      <c r="H6" s="9" t="n">
        <v>18.4</v>
      </c>
      <c r="I6" s="9" t="n">
        <v>13.7</v>
      </c>
      <c r="J6" s="9" t="n">
        <v>0</v>
      </c>
      <c r="K6" s="9" t="inlineStr">
        <is>
          <t>yfinance</t>
        </is>
      </c>
      <c r="L6" s="2" t="n"/>
      <c r="M6" s="2" t="n"/>
      <c r="N6" s="2" t="n"/>
    </row>
    <row r="7">
      <c r="A7" s="10" t="inlineStr">
        <is>
          <t>NetApp Inc.</t>
        </is>
      </c>
      <c r="B7" s="11" t="inlineStr">
        <is>
          <t>NTAP</t>
        </is>
      </c>
      <c r="C7" s="11" t="n">
        <v>12.4</v>
      </c>
      <c r="D7" s="11" t="n">
        <v>0</v>
      </c>
      <c r="E7" s="11" t="n">
        <v>18.6</v>
      </c>
      <c r="F7" s="11" t="n">
        <v>3.25</v>
      </c>
      <c r="G7" s="11" t="n">
        <v>0</v>
      </c>
      <c r="H7" s="11" t="n">
        <v>4.4</v>
      </c>
      <c r="I7" s="11" t="n">
        <v>26.1</v>
      </c>
      <c r="J7" s="11" t="n">
        <v>0</v>
      </c>
      <c r="K7" s="11" t="inlineStr">
        <is>
          <t>yfinance</t>
        </is>
      </c>
      <c r="L7" s="2" t="n"/>
      <c r="M7" s="2" t="n"/>
      <c r="N7" s="2" t="n"/>
    </row>
    <row r="8">
      <c r="A8" s="8" t="inlineStr">
        <is>
          <t>Lenovo Group Ltd. (ADR)</t>
        </is>
      </c>
      <c r="B8" s="9" t="inlineStr">
        <is>
          <t>LNVGY</t>
        </is>
      </c>
      <c r="C8" s="9" t="n">
        <v>0</v>
      </c>
      <c r="D8" s="9" t="n">
        <v>0</v>
      </c>
      <c r="E8" s="9" t="n">
        <v>11.5</v>
      </c>
      <c r="F8" s="9" t="n">
        <v>0</v>
      </c>
      <c r="G8" s="9" t="n">
        <v>0</v>
      </c>
      <c r="H8" s="9" t="n">
        <v>18.1</v>
      </c>
      <c r="I8" s="9" t="n">
        <v>4.6</v>
      </c>
      <c r="J8" s="9" t="n">
        <v>0</v>
      </c>
      <c r="K8" s="9" t="inlineStr">
        <is>
          <t>yfinance — EV/E</t>
        </is>
      </c>
      <c r="L8" s="2" t="n"/>
      <c r="M8" s="2" t="n"/>
      <c r="N8" s="2" t="n"/>
    </row>
    <row r="9">
      <c r="A9" s="10" t="inlineStr">
        <is>
          <t>HP Inc.</t>
        </is>
      </c>
      <c r="B9" s="11" t="inlineStr">
        <is>
          <t>HPQ</t>
        </is>
      </c>
      <c r="C9" s="11" t="n">
        <v>6.1</v>
      </c>
      <c r="D9" s="11" t="n">
        <v>0</v>
      </c>
      <c r="E9" s="11" t="n">
        <v>7.8</v>
      </c>
      <c r="F9" s="11" t="n">
        <v>0.48</v>
      </c>
      <c r="G9" s="11" t="n">
        <v>0</v>
      </c>
      <c r="H9" s="11" t="n">
        <v>6.9</v>
      </c>
      <c r="I9" s="11" t="n">
        <v>7.9</v>
      </c>
      <c r="J9" s="11" t="n">
        <v>0</v>
      </c>
      <c r="K9" s="11" t="inlineStr">
        <is>
          <t>yfinance</t>
        </is>
      </c>
      <c r="L9" s="2" t="n"/>
      <c r="M9" s="2" t="n"/>
      <c r="N9" s="2" t="n"/>
    </row>
    <row r="10">
      <c r="A10" s="70" t="inlineStr">
        <is>
          <t>▶ SMCI (SUBJECT)</t>
        </is>
      </c>
      <c r="B10" s="70" t="inlineStr">
        <is>
          <t>SMCI</t>
        </is>
      </c>
      <c r="C10" s="71" t="n">
        <v>16.6</v>
      </c>
      <c r="D10" s="71" t="n">
        <v>0</v>
      </c>
      <c r="E10" s="71" t="n">
        <v>21.3</v>
      </c>
      <c r="F10" s="71" t="n">
        <v>0.65</v>
      </c>
      <c r="G10" s="71" t="n">
        <v>5.62</v>
      </c>
      <c r="H10" s="71" t="inlineStr">
        <is>
          <t>—</t>
        </is>
      </c>
      <c r="I10" s="71" t="inlineStr">
        <is>
          <t>—</t>
        </is>
      </c>
      <c r="J10" s="71" t="inlineStr">
        <is>
          <t>—</t>
        </is>
      </c>
      <c r="K10" s="71" t="inlineStr">
        <is>
          <t>LSEG</t>
        </is>
      </c>
      <c r="L10" s="2" t="n"/>
      <c r="M10" s="2" t="n"/>
      <c r="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>
      <c r="A12" s="6" t="inlineStr">
        <is>
          <t>PEER GROUP STATISTICS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</row>
    <row r="13">
      <c r="A13" s="3" t="inlineStr">
        <is>
          <t>Median NTM EV/EBITDA</t>
        </is>
      </c>
      <c r="B13" s="5" t="n">
        <v>11.85</v>
      </c>
      <c r="C13" s="3" t="inlineStr">
        <is>
          <t>Mean NTM EV/EBITDA</t>
        </is>
      </c>
      <c r="D13" s="5" t="n">
        <v>10.9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3" t="inlineStr">
        <is>
          <t>25th Pct NTM EV/EBITDA</t>
        </is>
      </c>
      <c r="B14" s="5" t="n">
        <v>8.699999999999999</v>
      </c>
      <c r="C14" s="3" t="inlineStr">
        <is>
          <t>75th Pct NTM EV/EBITDA</t>
        </is>
      </c>
      <c r="D14" s="5" t="n">
        <v>12.75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A15" s="3" t="inlineStr">
        <is>
          <t>Median NTM P/E</t>
        </is>
      </c>
      <c r="B15" s="5" t="n">
        <v>18.6</v>
      </c>
      <c r="C15" s="3" t="inlineStr">
        <is>
          <t>Median NTM FCF Yield%</t>
        </is>
      </c>
      <c r="D15" s="5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>
      <c r="A17" s="6" t="inlineStr">
        <is>
          <t>IMPLIED VALUATION FROM COMPS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</row>
    <row r="18">
      <c r="A18" s="7" t="inlineStr">
        <is>
          <t>Methodology</t>
        </is>
      </c>
      <c r="B18" s="7" t="inlineStr">
        <is>
          <t>Multiple Applied</t>
        </is>
      </c>
      <c r="C18" s="7" t="inlineStr">
        <is>
          <t>NTM Metric</t>
        </is>
      </c>
      <c r="D18" s="7" t="inlineStr">
        <is>
          <t>Implied Price</t>
        </is>
      </c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>
      <c r="A19" s="10" t="inlineStr">
        <is>
          <t>Median EV/EBITDA</t>
        </is>
      </c>
      <c r="B19" s="11" t="n">
        <v>11.85</v>
      </c>
      <c r="C19" s="11" t="inlineStr">
        <is>
          <t>EBITDA $1,097mm</t>
        </is>
      </c>
      <c r="D19" s="11" t="inlineStr">
        <is>
          <t>$22.30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8" t="inlineStr">
        <is>
          <t>Median P/E</t>
        </is>
      </c>
      <c r="B20" s="9" t="n">
        <v>12.1</v>
      </c>
      <c r="C20" s="9" t="inlineStr">
        <is>
          <t>NTM EPS $2.98</t>
        </is>
      </c>
      <c r="D20" s="9" t="inlineStr">
        <is>
          <t>$36.06</t>
        </is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s="10" t="inlineStr">
        <is>
          <t>Median FCF Yield</t>
        </is>
      </c>
      <c r="B21" s="11" t="inlineStr">
        <is>
          <t>0%</t>
        </is>
      </c>
      <c r="C21" s="11" t="inlineStr">
        <is>
          <t>NTM FCF/sh $1.64</t>
        </is>
      </c>
      <c r="D21" s="11" t="inlineStr">
        <is>
          <t>$0.00</t>
        </is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s="72" t="inlineStr">
        <is>
          <t>BLENDED IMPLIED PRICE</t>
        </is>
      </c>
      <c r="B22" s="73" t="inlineStr"/>
      <c r="C22" s="73" t="inlineStr">
        <is>
          <t>Current: $29.23</t>
        </is>
      </c>
      <c r="D22" s="73" t="inlineStr">
        <is>
          <t>$26.50  (-9.3%)</t>
        </is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6" t="inlineStr">
        <is>
          <t>TRADING HISTORY</t>
        </is>
      </c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3" t="inlineStr">
        <is>
          <t>52-Week High</t>
        </is>
      </c>
      <c r="B25" s="5" t="inlineStr">
        <is>
          <t>$62.36</t>
        </is>
      </c>
      <c r="C25" s="3" t="inlineStr">
        <is>
          <t>52-Week Low</t>
        </is>
      </c>
      <c r="D25" s="5" t="inlineStr">
        <is>
          <t>$19.48</t>
        </is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3" t="inlineStr">
        <is>
          <t>vs 52W High</t>
        </is>
      </c>
      <c r="B26" s="5" t="inlineStr">
        <is>
          <t>-53.1%</t>
        </is>
      </c>
      <c r="C26" s="3" t="inlineStr">
        <is>
          <t>3-Year Range Position</t>
        </is>
      </c>
      <c r="D26" s="5" t="inlineStr">
        <is>
          <t>bottom_quartile</t>
        </is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</row>
  </sheetData>
  <mergeCells count="5">
    <mergeCell ref="A24:F24"/>
    <mergeCell ref="A1:J1"/>
    <mergeCell ref="A3:J3"/>
    <mergeCell ref="A17:F17"/>
    <mergeCell ref="A12:F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5C542"/>
    <outlinePr summaryBelow="1" summaryRight="1"/>
    <pageSetUpPr/>
  </sheetPr>
  <dimension ref="A1:N80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24" customHeight="1">
      <c r="A1" s="74" t="inlineStr">
        <is>
          <t>SMCI — FINANCIAL STATEMENTS</t>
        </is>
      </c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6" t="inlineStr">
        <is>
          <t>REVENUE ANALYSIS</t>
        </is>
      </c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7" t="inlineStr">
        <is>
          <t>Metric</t>
        </is>
      </c>
      <c r="B4" s="7" t="inlineStr">
        <is>
          <t>FY2017</t>
        </is>
      </c>
      <c r="C4" s="7" t="inlineStr">
        <is>
          <t>FY2025</t>
        </is>
      </c>
      <c r="D4" s="7" t="inlineStr">
        <is>
          <t>TTM (yFinance, ~Dec2025)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10" t="inlineStr">
        <is>
          <t>Revenue ($mm)</t>
        </is>
      </c>
      <c r="B5" s="11" t="inlineStr">
        <is>
          <t>$2,485</t>
        </is>
      </c>
      <c r="C5" s="11" t="inlineStr">
        <is>
          <t>$21,972</t>
        </is>
      </c>
      <c r="D5" s="11" t="inlineStr">
        <is>
          <t>$28,057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8" t="inlineStr">
        <is>
          <t>YoY Growth%</t>
        </is>
      </c>
      <c r="B6" s="9" t="inlineStr">
        <is>
          <t>N/A</t>
        </is>
      </c>
      <c r="C6" s="9" t="inlineStr">
        <is>
          <t>N/A</t>
        </is>
      </c>
      <c r="D6" s="9" t="inlineStr">
        <is>
          <t>27.7%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3" t="inlineStr">
        <is>
          <t>3-Year Revenue CAGR</t>
        </is>
      </c>
      <c r="B7" s="5" t="inlineStr">
        <is>
          <t>DATA UNAVAILABLE — FY2022/FY2023 revenue not in provided SEC/CapIQ sections; 8-yr CAGR FY2017→FY2025 = ($21,972/$2,485)^(1/8) - 1 = 31.0% (labeled cagr_8yr)%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3" t="inlineStr">
        <is>
          <t>Revenue Quality</t>
        </is>
      </c>
      <c r="B8" s="5" t="inlineStr">
        <is>
          <t>—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6" t="inlineStr">
        <is>
          <t>MARGIN ANALYSIS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s="3" t="inlineStr">
        <is>
          <t>Normalized EBIT Margin</t>
        </is>
      </c>
      <c r="B11" s="5" t="inlineStr">
        <is>
          <t>5.0%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>
      <c r="A12" s="3" t="inlineStr">
        <is>
          <t>Margin Direction</t>
        </is>
      </c>
      <c r="B12" s="5" t="inlineStr">
        <is>
          <t>—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6" t="inlineStr">
        <is>
          <t>BALANCE SHEET SUMMARY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A15" s="3" t="inlineStr">
        <is>
          <t>Net Debt ($mm)</t>
        </is>
      </c>
      <c r="B15" s="5" t="inlineStr">
        <is>
          <t>$-391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s="3" t="inlineStr">
        <is>
          <t>Net Debt/EBITDA</t>
        </is>
      </c>
      <c r="B16" s="5" t="inlineStr">
        <is>
          <t>-0.36x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>
      <c r="A17" s="3" t="inlineStr">
        <is>
          <t>Interest Coverage</t>
        </is>
      </c>
      <c r="B17" s="5" t="inlineStr">
        <is>
          <t>?x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>
      <c r="A18" s="3" t="inlineStr">
        <is>
          <t>Balance Sheet Assessment</t>
        </is>
      </c>
      <c r="B18" s="5" t="inlineStr">
        <is>
          <t>—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6" t="inlineStr">
        <is>
          <t>RETURN ON INVESTED CAPITAL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s="7" t="inlineStr">
        <is>
          <t>Metric</t>
        </is>
      </c>
      <c r="B21" s="7" t="inlineStr">
        <is>
          <t>TTM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s="10" t="inlineStr">
        <is>
          <t>ROIC%</t>
        </is>
      </c>
      <c r="B22" s="11" t="inlineStr">
        <is>
          <t>12.3%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3" t="inlineStr">
        <is>
          <t>ROIC-WACC Spread</t>
        </is>
      </c>
      <c r="B23" s="5" t="inlineStr">
        <is>
          <t>0.8%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3" t="inlineStr">
        <is>
          <t>ROIC Trend</t>
        </is>
      </c>
      <c r="B24" s="5" t="inlineStr">
        <is>
          <t>declining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</row>
  </sheetData>
  <mergeCells count="5">
    <mergeCell ref="A10:F10"/>
    <mergeCell ref="A1:G1"/>
    <mergeCell ref="A3:F3"/>
    <mergeCell ref="A20:F20"/>
    <mergeCell ref="A14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03E3E"/>
    <outlinePr summaryBelow="1" summaryRight="1"/>
    <pageSetUpPr/>
  </sheetPr>
  <dimension ref="A1:H8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14" customWidth="1" min="3" max="3"/>
    <col width="12" customWidth="1" min="4" max="4"/>
    <col width="12" customWidth="1" min="5" max="5"/>
    <col width="30" customWidth="1" min="6" max="6"/>
    <col width="20" customWidth="1" min="7" max="7"/>
    <col width="12" customWidth="1" min="8" max="8"/>
  </cols>
  <sheetData>
    <row r="1" ht="24" customHeight="1">
      <c r="A1" s="75" t="inlineStr">
        <is>
          <t>SMCI — RISK REGISTER</t>
        </is>
      </c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6" t="inlineStr">
        <is>
          <t>THESIS-KILLER RISK</t>
        </is>
      </c>
      <c r="H3" s="2" t="n"/>
    </row>
    <row r="4" ht="40" customHeight="1">
      <c r="A4" s="76" t="inlineStr">
        <is>
          <t>AI capex super-cycle extends: The core short thesis depends on AI infrastructure growth decelerating from FY25's ~87% and SMCI losing share to Dell, HPE, and hyperscaler ODMs. If hyperscaler capex instead re-accelerates through 2026-2027 and SMCI retains tier-1 wins beyond JPM (sovereign AI, CoreWeave-class neoclouds, Tesla/xAI rebuilds), revenue could exceed $35B FY26E and growth could stay above</t>
        </is>
      </c>
      <c r="H4" s="2" t="n"/>
    </row>
    <row r="5"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6" t="inlineStr">
        <is>
          <t>KEY RISKS &amp; MITIGANTS</t>
        </is>
      </c>
      <c r="H7" s="2" t="n"/>
    </row>
    <row r="8">
      <c r="A8" s="7" t="inlineStr">
        <is>
          <t>#</t>
        </is>
      </c>
      <c r="B8" s="7" t="inlineStr">
        <is>
          <t>Risk Name</t>
        </is>
      </c>
      <c r="C8" s="7" t="inlineStr">
        <is>
          <t>Risk</t>
        </is>
      </c>
      <c r="D8" s="7" t="inlineStr">
        <is>
          <t>Probability</t>
        </is>
      </c>
      <c r="E8" s="7" t="inlineStr">
        <is>
          <t>Price Impact %</t>
        </is>
      </c>
      <c r="F8" s="7" t="inlineStr">
        <is>
          <t>Mitigant</t>
        </is>
      </c>
      <c r="G8" s="7" t="inlineStr">
        <is>
          <t>Early Warning</t>
        </is>
      </c>
      <c r="H8" s="2" t="n"/>
    </row>
    <row r="9" ht="32" customHeight="1">
      <c r="A9" s="77" t="inlineStr">
        <is>
          <t>★ 1</t>
        </is>
      </c>
      <c r="B9" s="78" t="inlineStr">
        <is>
          <t>AI capex super-cycle</t>
        </is>
      </c>
      <c r="C9" s="78" t="inlineStr">
        <is>
          <t>The core short thesis depends on AI infrastructure growth decelerating from FY25</t>
        </is>
      </c>
      <c r="D9" s="78" t="inlineStr">
        <is>
          <t>M</t>
        </is>
      </c>
      <c r="E9" s="78" t="inlineStr">
        <is>
          <t>200%</t>
        </is>
      </c>
      <c r="F9" s="78" t="inlineStr">
        <is>
          <t>Even in a sustained AI capex cycle, SMCI's specific share po</t>
        </is>
      </c>
      <c r="G9" s="78" t="inlineStr">
        <is>
          <t>Second tier-1 customer disclosed above 1</t>
        </is>
      </c>
      <c r="H9" s="2" t="n"/>
    </row>
    <row r="10" ht="32" customHeight="1">
      <c r="A10" s="8" t="inlineStr">
        <is>
          <t>2</t>
        </is>
      </c>
      <c r="B10" s="9" t="inlineStr">
        <is>
          <t>DOJ resolves without</t>
        </is>
      </c>
      <c r="C10" s="9" t="inlineStr">
        <is>
          <t>A significant leg of the short thesis is the governance discount priced into SMC</t>
        </is>
      </c>
      <c r="D10" s="9" t="inlineStr">
        <is>
          <t>M</t>
        </is>
      </c>
      <c r="E10" s="9" t="inlineStr">
        <is>
          <t>40%</t>
        </is>
      </c>
      <c r="F10" s="9" t="inlineStr">
        <is>
          <t>Even with DOJ relief, the underlying business quality issues</t>
        </is>
      </c>
      <c r="G10" s="9" t="inlineStr">
        <is>
          <t>8-K Item 8.01 disclosure of DOJ declinat</t>
        </is>
      </c>
      <c r="H10" s="2" t="n"/>
    </row>
    <row r="11" ht="32" customHeight="1">
      <c r="A11" s="10" t="inlineStr">
        <is>
          <t>3</t>
        </is>
      </c>
      <c r="B11" s="11" t="inlineStr">
        <is>
          <t>Gross margin stabili</t>
        </is>
      </c>
      <c r="C11" s="11" t="inlineStr">
        <is>
          <t>The thesis rests on gross margins continuing to compress from 18.1% FY23 to 11.0</t>
        </is>
      </c>
      <c r="D11" s="11" t="inlineStr">
        <is>
          <t>M</t>
        </is>
      </c>
      <c r="E11" s="11" t="inlineStr">
        <is>
          <t>55%</t>
        </is>
      </c>
      <c r="F11" s="11" t="inlineStr">
        <is>
          <t>The margin collapse pattern has been linear across six conse</t>
        </is>
      </c>
      <c r="G11" s="11" t="inlineStr">
        <is>
          <t>Sequential GAAP gross margin expansion f</t>
        </is>
      </c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6" t="inlineStr">
        <is>
          <t>WHAT WOULD MAKE US WRONG</t>
        </is>
      </c>
      <c r="H13" s="2" t="n"/>
    </row>
    <row r="14">
      <c r="A14" s="79" t="inlineStr">
        <is>
          <t>• {'condition': 'GAAP gross margin recovers above 11% for two consecutive quarters (reversing the 18.1% → 11.06% → 8.0% compression trajectory)', 'how_to_test': 'Quarterly 10-Q filings; compare reported</t>
        </is>
      </c>
      <c r="H14" s="2" t="n"/>
    </row>
    <row r="15">
      <c r="A15" s="79" t="inlineStr">
        <is>
          <t>• {'condition': 'DOJ announces declination, non-prosecution agreement, or deferred prosecution agreement against the corporate entity with aggregate financial penalty below $250mm and no accounting rest</t>
        </is>
      </c>
      <c r="H15" s="2" t="n"/>
    </row>
    <row r="16">
      <c r="A16" s="79" t="inlineStr">
        <is>
          <t>• {'condition': 'Customer concentration falls below 40% top-one and SMCI discloses a second customer above 10% of revenue at run-rate revenue above $35B annualized', 'how_to_test': '10-Q/10-K customer c</t>
        </is>
      </c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</row>
  </sheetData>
  <mergeCells count="8">
    <mergeCell ref="A13:G13"/>
    <mergeCell ref="A14:G14"/>
    <mergeCell ref="A1:G1"/>
    <mergeCell ref="A3:G3"/>
    <mergeCell ref="A4:G5"/>
    <mergeCell ref="A16:G16"/>
    <mergeCell ref="A15:G15"/>
    <mergeCell ref="A7:G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86AB"/>
    <outlinePr summaryBelow="1" summaryRight="1"/>
    <pageSetUpPr/>
  </sheetPr>
  <dimension ref="A1:J12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22" customHeight="1">
      <c r="A1" s="80" t="inlineStr">
        <is>
          <t>SMCI — HISTORICAL FINANCIAL STATEMENTS (Source: CapIQ)</t>
        </is>
      </c>
      <c r="G1" s="2" t="n"/>
      <c r="H1" s="2" t="n"/>
      <c r="I1" s="2" t="n"/>
      <c r="J1" s="2" t="n"/>
    </row>
    <row r="2">
      <c r="A2" s="81" t="inlineStr">
        <is>
          <t>All figures in USD millions unless noted. Data pulled directly from S&amp;P Capital IQ.</t>
        </is>
      </c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2" t="inlineStr">
        <is>
          <t>CapIQ data unavailable — run fetch_capiq_excel.py to populate this tab</t>
        </is>
      </c>
      <c r="G4" s="2" t="n"/>
      <c r="H4" s="2" t="n"/>
      <c r="I4" s="2" t="n"/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</row>
  </sheetData>
  <mergeCells count="3"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2026-04-22T20:16:48Z</dcterms:created>
  <dcterms:modified xmlns:dcterms="http://purl.org/dc/terms/" xmlns:xsi="http://www.w3.org/2001/XMLSchema-instance" xsi:type="dcterms:W3CDTF">2026-04-22T20:16:48Z</dcterms:modified>
</cp:coreProperties>
</file>